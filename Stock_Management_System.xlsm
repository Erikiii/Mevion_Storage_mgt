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vioncom-my.sharepoint.com/personal/xihao_han_mevion_com/Documents/Installation/Share/Storage_mgt/"/>
    </mc:Choice>
  </mc:AlternateContent>
  <xr:revisionPtr revIDLastSave="41178" documentId="8_{B92D40D4-66D4-4F6E-A6DE-62F0EF79165E}" xr6:coauthVersionLast="47" xr6:coauthVersionMax="47" xr10:uidLastSave="{E883A90B-5BAB-44E0-86C6-C7D813190AAD}"/>
  <bookViews>
    <workbookView xWindow="-110" yWindow="-110" windowWidth="19420" windowHeight="11500" xr2:uid="{00000000-000D-0000-FFFF-FFFF00000000}"/>
  </bookViews>
  <sheets>
    <sheet name="Dashboard" sheetId="1" r:id="rId1"/>
    <sheet name="Data Entry" sheetId="2" r:id="rId2"/>
    <sheet name="Database" sheetId="3" r:id="rId3"/>
    <sheet name="Search" sheetId="4" r:id="rId4"/>
    <sheet name="Instructions" sheetId="5" state="hidden" r:id="rId5"/>
  </sheets>
  <definedNames>
    <definedName name="_xlnm._FilterDatabase" localSheetId="2" hidden="1">Database!$A$1:$J$1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B11" i="2"/>
  <c r="B10" i="2"/>
  <c r="B4" i="1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C16" i="1" l="1"/>
  <c r="B16" i="1"/>
  <c r="C15" i="1"/>
  <c r="B15" i="1"/>
  <c r="C14" i="1"/>
  <c r="B14" i="1"/>
  <c r="C13" i="1"/>
  <c r="B13" i="1"/>
  <c r="C12" i="1"/>
  <c r="B12" i="1"/>
  <c r="B8" i="1"/>
  <c r="B6" i="1"/>
  <c r="E5" i="1"/>
  <c r="B5" i="1"/>
  <c r="B7" i="1" l="1"/>
  <c r="E4" i="1"/>
  <c r="D15" i="1"/>
  <c r="D16" i="1"/>
  <c r="D13" i="1"/>
  <c r="D12" i="1"/>
  <c r="D14" i="1"/>
</calcChain>
</file>

<file path=xl/sharedStrings.xml><?xml version="1.0" encoding="utf-8"?>
<sst xmlns="http://schemas.openxmlformats.org/spreadsheetml/2006/main" count="418" uniqueCount="231">
  <si>
    <t>Storage Management Dashboard</t>
  </si>
  <si>
    <t>Key Metrics</t>
  </si>
  <si>
    <t>Total Products:</t>
  </si>
  <si>
    <t>Current Stock:</t>
  </si>
  <si>
    <t>Total Inbound:</t>
  </si>
  <si>
    <t>Total Outbound:</t>
  </si>
  <si>
    <t>Total Transactions:</t>
  </si>
  <si>
    <t>Total Value ($):</t>
  </si>
  <si>
    <t>Avg Unit Price:</t>
  </si>
  <si>
    <t>Last Updated:</t>
  </si>
  <si>
    <t>Stock by Category</t>
  </si>
  <si>
    <t>Category</t>
  </si>
  <si>
    <t>Inbound Qty</t>
  </si>
  <si>
    <t>Outbound Qty</t>
  </si>
  <si>
    <t>Current Stock</t>
  </si>
  <si>
    <t>Electronics</t>
  </si>
  <si>
    <t>Furniture</t>
  </si>
  <si>
    <t>Office Supplies</t>
  </si>
  <si>
    <t>Packaging</t>
  </si>
  <si>
    <t>Cleaning</t>
  </si>
  <si>
    <t>New Transaction Entry</t>
  </si>
  <si>
    <t>Fill in the form below, then click Inbound or Outbound button to record</t>
  </si>
  <si>
    <t>Status:</t>
  </si>
  <si>
    <t>ACTIONS:</t>
  </si>
  <si>
    <t>1. Fill in the form above</t>
  </si>
  <si>
    <t>2. Click "Record Inbound" button (or Outbound)</t>
  </si>
  <si>
    <t>3. Data will be appended to the Database sheet</t>
  </si>
  <si>
    <t>Note: Yellow cells = manual input, Green cells = auto-calculated</t>
  </si>
  <si>
    <t>S/N</t>
  </si>
  <si>
    <t>Product Name</t>
  </si>
  <si>
    <t>Quantity</t>
  </si>
  <si>
    <t>Unit</t>
  </si>
  <si>
    <t>Unit Price ($)</t>
  </si>
  <si>
    <t>Total Value ($)</t>
  </si>
  <si>
    <t>Date</t>
  </si>
  <si>
    <t>Status</t>
  </si>
  <si>
    <t>Notes</t>
  </si>
  <si>
    <t>Search Records</t>
  </si>
  <si>
    <t>Search Criteria:</t>
  </si>
  <si>
    <t>Search by Keyword:</t>
  </si>
  <si>
    <t>Search by Status:</t>
  </si>
  <si>
    <t>All</t>
  </si>
  <si>
    <t>Storage Management System - User Guide</t>
  </si>
  <si>
    <t>OVERVIEW</t>
  </si>
  <si>
    <t>This workbook provides a complete storage/inventory management system with the following sheets:</t>
  </si>
  <si>
    <t xml:space="preserve">  - Dashboard: Real-time metrics and category summary</t>
  </si>
  <si>
    <t xml:space="preserve">  - Data Entry: Main input form for new transactions</t>
  </si>
  <si>
    <t xml:space="preserve">  - Database: Central storage for all transaction records</t>
  </si>
  <si>
    <t xml:space="preserve">  - Search: Filter and view records based on criteria</t>
  </si>
  <si>
    <t xml:space="preserve">  - Instructions: This guide + VBA macro code</t>
  </si>
  <si>
    <t>QUICK START (Without VBA)</t>
  </si>
  <si>
    <t>1. Go to "Data Entry" sheet</t>
  </si>
  <si>
    <t>2. Fill in the form (yellow cells = manual input)</t>
  </si>
  <si>
    <t>3. Copy the filled row and paste it at the bottom of "Database" sheet</t>
  </si>
  <si>
    <t>4. For searching: Use AutoFilter on Database sheet (Ctrl+Shift+L)</t>
  </si>
  <si>
    <t>WITH VBA MACROS (Recommended)</t>
  </si>
  <si>
    <t>To enable button functionality (Inbound/Outbound/Search buttons):</t>
  </si>
  <si>
    <t>1. Save this file as .xlsm (Macro-Enabled Workbook)</t>
  </si>
  <si>
    <t>2. Press ALT+F11 to open VBA Editor</t>
  </si>
  <si>
    <t>3. Go to Insert &gt; Module</t>
  </si>
  <si>
    <t>4. Copy the VBA code from the "VBA Code" section below</t>
  </si>
  <si>
    <t>5. Paste into the module and press F5 to run (or close editor)</t>
  </si>
  <si>
    <t>6. Go back to Data Entry sheet and use the buttons</t>
  </si>
  <si>
    <t>SHEET DESCRIPTIONS</t>
  </si>
  <si>
    <t>Dashboard:</t>
  </si>
  <si>
    <t xml:space="preserve">  - Shows key metrics: Total Products, Inbound/Outbound Qty, Current Stock, Total Value</t>
  </si>
  <si>
    <t xml:space="preserve">  - Category summary with stock levels</t>
  </si>
  <si>
    <t xml:space="preserve">  - Chart visualization</t>
  </si>
  <si>
    <t>Data Entry:</t>
  </si>
  <si>
    <t xml:space="preserve">  - Single-row input form</t>
  </si>
  <si>
    <t xml:space="preserve">  - Dropdown lists for Status (Inbound/Outbound) and Unit type</t>
  </si>
  <si>
    <t xml:space="preserve">  - Total Value and Date auto-calculated</t>
  </si>
  <si>
    <t xml:space="preserve">  - Buttons: Record Inbound, Record Outbound</t>
  </si>
  <si>
    <t>Database:</t>
  </si>
  <si>
    <t xml:space="preserve">  - Central data table (all records stored here)</t>
  </si>
  <si>
    <t xml:space="preserve">  - Auto-filter enabled for quick sorting/filtering</t>
  </si>
  <si>
    <t xml:space="preserve">  - Total Value auto-calculated (Quantity x Unit Price)</t>
  </si>
  <si>
    <t>Search:</t>
  </si>
  <si>
    <t xml:space="preserve">  - Search by S/N, Keyword, or Status</t>
  </si>
  <si>
    <t xml:space="preserve">  - Results displayed in formatted table</t>
  </si>
  <si>
    <t>P/N</t>
  </si>
  <si>
    <t>Unit Price (CNY)</t>
  </si>
  <si>
    <t>Total Value (CNY)</t>
  </si>
  <si>
    <t>Search by P/N:</t>
  </si>
  <si>
    <t>10904</t>
  </si>
  <si>
    <t>TERMINAL, SL CRIMP, FEMALE, .100 PITCH, 24-30 AWG</t>
  </si>
  <si>
    <t>终端</t>
  </si>
  <si>
    <t>Tool Box</t>
  </si>
  <si>
    <t>11544</t>
  </si>
  <si>
    <t>CONNECTOR, D-SUB, PLUG, 9 POS, SIZE 1, AMPLIMITE HDP, SIZE 20 DF PIN CONTACTS</t>
  </si>
  <si>
    <t>连接器</t>
  </si>
  <si>
    <t>11596</t>
  </si>
  <si>
    <t>CONNECTOR, D-SUB, 9 PIN SOCKET, CRIMP</t>
  </si>
  <si>
    <t>11597</t>
  </si>
  <si>
    <t>CONNECTOR, D-SUB, 15 PIN PLUG, CRIMP PINS</t>
  </si>
  <si>
    <t>11599</t>
  </si>
  <si>
    <t>CONNECTOR, D-SUB, 15 POS, RECEPTACLE, SIZE 2, SIZE 20 DF SOCKET CONTACTS, AMPLIMITE HDP</t>
  </si>
  <si>
    <t>11600</t>
  </si>
  <si>
    <t>CONNECTOR, D-SUB, 25 PIN PLUG, SIZE 3, SIZE 20 DF PIN CONTACTS, AMPLIMITE HDP</t>
  </si>
  <si>
    <t>11601</t>
  </si>
  <si>
    <t>CONNECTOR, D-SUB, 25 PIN SOCKET, CRIMP PINS</t>
  </si>
  <si>
    <t>11602</t>
  </si>
  <si>
    <t>CONTACT, D-SUB, MALE, 20-24AWG, INS. RANGE .050-.060, SIZE 20DF, AMPLIMITE, LOOSE PIECE</t>
  </si>
  <si>
    <t>11603</t>
  </si>
  <si>
    <t>CONTACT, D-SUB, FEMALE, 20-24 AWG, INS. RANGE .05-.06, SIZE 20DF, AMPLIMITE, LOOSE PIECE</t>
  </si>
  <si>
    <t>11648</t>
  </si>
  <si>
    <t>CONTACT, CPC CONNECTOR, MALE, 20-24AWG, INS. RANGE .040-.080, TYPE III MULTIMATE, LOOSE PIECE</t>
  </si>
  <si>
    <t>11649</t>
  </si>
  <si>
    <t>CONTACT, CPC CONNECTOR, FEMALE, 20-24AWG, INS. RANGE .04-.08, TYPE III+, MULTIMATE, LOOSE PIECE</t>
  </si>
  <si>
    <t>11651</t>
  </si>
  <si>
    <t>CONNECTOR, CPC PIN, WIRE GAUGE 24-20, INSULATION RANGE .060-.120</t>
  </si>
  <si>
    <t>11652</t>
  </si>
  <si>
    <t>CONTACT, CPC CONNECTOR, FEMALE, 20-24AWG, INS. RANGE .060-.120, TYPE III MULTIMATE, LOOSE PIECE</t>
  </si>
  <si>
    <t>11654</t>
  </si>
  <si>
    <t>CONNECTOR, CPC PIN, WIRE GAUGE 24-20, INSULATION RANGE .080-.100</t>
  </si>
  <si>
    <t>11655</t>
  </si>
  <si>
    <t>CONNECTOR, CPC SOCKET, WIRE GAUGE  24-20, INSULATION RANGE .080-.100</t>
  </si>
  <si>
    <t>11656</t>
  </si>
  <si>
    <t>CONTACT, PIN, CPC CONN, WIRE GAUGE 18-16, INSULATION RANGE .040-.080</t>
  </si>
  <si>
    <t>针脚</t>
  </si>
  <si>
    <t>11657</t>
  </si>
  <si>
    <t>CONTACT, SOCKET, CPC CONN, WIRE GAUGE 18-16, INSULATION RANGE .080-.100</t>
  </si>
  <si>
    <t>连接插座</t>
  </si>
  <si>
    <t>11660</t>
  </si>
  <si>
    <t>CONNECTOR, CPC PIN, WIRE GAUGE 18-14, INSULATION RANGE .080-.100</t>
  </si>
  <si>
    <t>11661</t>
  </si>
  <si>
    <t>CONNECTOR, CPC SOCKET, WIRE GAUGE 18-14, INSULATION RANGE .080-.100</t>
  </si>
  <si>
    <t>12837</t>
  </si>
  <si>
    <t>CONNECTOR, D-SUB, 37 PIN PLUG, SIZE 4, SIZE 20 DF PIN CONTACTS, AMPLIMITE HDP</t>
  </si>
  <si>
    <t>12838</t>
  </si>
  <si>
    <t>CONNECTOR, D-SUB, 37 PIN SOCKET, CRIMP PINS</t>
  </si>
  <si>
    <t>12839</t>
  </si>
  <si>
    <t>CONNECTOR, D-SUB, 50 POS, PLUG, SIZE 5, SIZE 20 DF PIN CONTACTS, AMPLIMITE HDP</t>
  </si>
  <si>
    <t>12840</t>
  </si>
  <si>
    <t>CONNECTOR, D-SUB, RECEPTACLE, 50 POS, SIZE 5, AMPLIMITE HDP, SIZE 20 DF SOCKET CONTACTS</t>
  </si>
  <si>
    <t>13518</t>
  </si>
  <si>
    <t>CONNECTOR, 2 POS, FEMALE, POLARIZED, WIRE TO WIRE</t>
  </si>
  <si>
    <t>13519</t>
  </si>
  <si>
    <t>CONNECTOR, 3 POS, FEMALE, POLARIZED, WIRE TO WIRE</t>
  </si>
  <si>
    <t>13520</t>
  </si>
  <si>
    <t>CONNECTOR, 4 PINS, MALE, POLARIZED, WIRE TO WIRE</t>
  </si>
  <si>
    <t>13522</t>
  </si>
  <si>
    <t>CONNECTOR, 10 POS, FEMALE, POLARIZED, WIRE TO WIRE</t>
  </si>
  <si>
    <t>13523</t>
  </si>
  <si>
    <t>CONNECTOR, 2 POS, MALE, POLARIZED, WIRE TO WIRE</t>
  </si>
  <si>
    <t>13524</t>
  </si>
  <si>
    <t>CONNECTOR, 3 POS, MALE, POLARIZED, WIRE TO WIRE</t>
  </si>
  <si>
    <t>13526</t>
  </si>
  <si>
    <t>CONNECTOR, 4 SOCKETS, FEMALE, POLARIZED, WIRE TO WIRE</t>
  </si>
  <si>
    <t>13527</t>
  </si>
  <si>
    <t>CONNECTOR, 10 POS, MALE, POLARIZED, WIRE TO WIRE</t>
  </si>
  <si>
    <t>14677</t>
  </si>
  <si>
    <t>CRIMPING TOOL FOR 18-16 AWG CPC PIN &amp; SOCKET</t>
  </si>
  <si>
    <t>压线钳</t>
  </si>
  <si>
    <t>Tool Cart 02 Rack 3</t>
  </si>
  <si>
    <t>18461</t>
  </si>
  <si>
    <t>CONTACT, MICRO-FIT, MALE, 20-24AWG, INS. RANGE .030-.076, LOOSE PIECE</t>
  </si>
  <si>
    <t>18917</t>
  </si>
  <si>
    <t>CONNECTOR, CPC SOCKET, 20-24AWG, .040-.080 INSUL, GOLD PLATE</t>
  </si>
  <si>
    <t>18918</t>
  </si>
  <si>
    <t>CONNECTOR, CPC PIN,20-24AWG, .040-.080 INSUL, GOLD PLATE</t>
  </si>
  <si>
    <t>19253</t>
  </si>
  <si>
    <t>TERMINAL, FEMALE, CRIMP, 22-24 AWG</t>
  </si>
  <si>
    <t>接头端子</t>
  </si>
  <si>
    <t>20357</t>
  </si>
  <si>
    <t>SET, IMPACT ADAPTER, 7 PC</t>
  </si>
  <si>
    <t>撞击适配器</t>
  </si>
  <si>
    <t>Tool Cart 02 Rack 8</t>
  </si>
  <si>
    <t>24287</t>
  </si>
  <si>
    <t>CONTACT, CPC CONNECTOR, FEMALE, 20-24AWG, INS. RANGE .050-.060, SIZE 20DF, AMPLIMITE, LOOSE PIECE</t>
  </si>
  <si>
    <t>24288</t>
  </si>
  <si>
    <t>CONTACT, CPC CONNECTOR, MALE, 20-24AWG, INS. RANGE .050-.060, SIZE 20DF, AMPLIMITE, LOOSE PIECE</t>
  </si>
  <si>
    <t>24843</t>
  </si>
  <si>
    <t>CONTACT, D-SUB, MALE, 24-28AWG, MAX INS. DIA. .040, SIZE 20DF, LOOSE PIECE</t>
  </si>
  <si>
    <t>24860</t>
  </si>
  <si>
    <t>CONTACT, D-SUB, FEMALE, CRIMP, 24-28 AWG WIRE 0.040" DIA INSULATION</t>
  </si>
  <si>
    <t>25286</t>
  </si>
  <si>
    <t>CONNECTOR, CPC SOCKET, WIRE GAUGE 18-14, INSULATION RANGE .110-.150</t>
  </si>
  <si>
    <t>28428</t>
  </si>
  <si>
    <t>TERMINAL, MALE, CRIMP, 22-24 AWG, GOLD</t>
  </si>
  <si>
    <t>29817</t>
  </si>
  <si>
    <t>CONTACT, PIN, CPC CONN, WIRE GAUGE 26-24, INSULATION RANGE .035-.055</t>
  </si>
  <si>
    <t>29888</t>
  </si>
  <si>
    <t>UTILITY KNIFE BLADE, 100 PIECE DISPENSER</t>
  </si>
  <si>
    <t>刀片</t>
  </si>
  <si>
    <t>Tool Cart 01 Rack 2</t>
  </si>
  <si>
    <t>33270</t>
  </si>
  <si>
    <t>CONNECTOR, MOLEX SERIES 43025, FEMALE, DUAL ROW, 14 POSITION, WITH LATCH</t>
  </si>
  <si>
    <t>34914</t>
  </si>
  <si>
    <t>CONNECTOR, HOUSING, MALE, CRIMP, 6 POS, DUAL ROW, MICRO-FIT 3.0, BLACK, UL 94 V-0</t>
  </si>
  <si>
    <t>35315</t>
  </si>
  <si>
    <t>CONNECTOR, 6 POS, MICRO-FIT</t>
  </si>
  <si>
    <t>35316</t>
  </si>
  <si>
    <t>CONTACT, 26-30 AWG, CRIMP, FEMALE, GOLD, MICRO-FIT</t>
  </si>
  <si>
    <t>35708</t>
  </si>
  <si>
    <t>CONTACT, MICRO-FIT 3.0, FEMALE, 20-24AWG, MAX INS. .073, LOOSE PIECE</t>
  </si>
  <si>
    <t>35864</t>
  </si>
  <si>
    <t>THREAD LOCKER .17OZ, REUSABLE, VIBRA-TITE VC-3</t>
  </si>
  <si>
    <t>螺纹锁固胶</t>
  </si>
  <si>
    <t>Chemistry Cabinet</t>
  </si>
  <si>
    <t>Validated until 2030</t>
  </si>
  <si>
    <t>37028</t>
  </si>
  <si>
    <t>CONNECTOR, HOUSING, DUAL ROW, 4 POS, NATURAL, MINIFIT JR, MALE, CRIMP</t>
  </si>
  <si>
    <t>37029</t>
  </si>
  <si>
    <t>CONNECTOR, MALE, CRIMP, MINI-FIT JR, 18-24 AWG</t>
  </si>
  <si>
    <t>37221</t>
  </si>
  <si>
    <t>CONTACT, CPC CONNECTOR, MALE, 18-22AWG, INS. RANGE .068 MAX, SIZE 20DF, AMPLIMITE, LOOSE PIECE</t>
  </si>
  <si>
    <t>37612</t>
  </si>
  <si>
    <t>CONNECTOR, 4 POS, 2 ROW MINI-FIT JR, RECEPTACLE</t>
  </si>
  <si>
    <t>40432</t>
  </si>
  <si>
    <t>ASSY, TOOL, TEST, KUKA X-11 JUMPER PLUG</t>
  </si>
  <si>
    <t>跳线插头</t>
  </si>
  <si>
    <t>Tool Cart 01 Rack 5</t>
  </si>
  <si>
    <t>46383</t>
  </si>
  <si>
    <t>ADAPTER, UNIVERSAL, IMPACT, 3/8</t>
  </si>
  <si>
    <t>万向转接头</t>
  </si>
  <si>
    <t>Tool Cart 02 Rack 7</t>
  </si>
  <si>
    <t>46384</t>
  </si>
  <si>
    <t>ADAPTER, UNIVERSAL, IMPACT, 1/2</t>
  </si>
  <si>
    <t>46385</t>
  </si>
  <si>
    <t>ADAPTER, IMPACT, 3/8F - 1/2M</t>
  </si>
  <si>
    <t>转接头</t>
  </si>
  <si>
    <t>46386</t>
  </si>
  <si>
    <t>ADAPTER, IMPACT, 1/2F - 3/8M</t>
  </si>
  <si>
    <t>46387</t>
  </si>
  <si>
    <t>ADAPTER, IMPACT, 1/2F - 3/4M</t>
  </si>
  <si>
    <t>46388</t>
  </si>
  <si>
    <t>ADAPTER, IMPACT, 3/4F - 1/2M</t>
  </si>
  <si>
    <t>Inbound</t>
  </si>
  <si>
    <t>&lt;- To adapt to better function</t>
  </si>
  <si>
    <t xml:space="preserve">                 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</si>
</sst>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5" x14ac:knownFonts="1">
    <font>
      <sz val="11"/>
      <color theme="1"/>
      <name val="Calibri"/>
      <family val="2"/>
      <scheme val="minor"/>
    </font>
    <font>
      <b/>
      <sz val="16"/>
      <color rgb="FF1F4E79"/>
      <name val="Calibri"/>
      <family val="2"/>
    </font>
    <font>
      <b/>
      <sz val="12"/>
      <color rgb="FF1F4E79"/>
      <name val="Calibri"/>
      <family val="2"/>
    </font>
    <font>
      <b/>
      <sz val="10"/>
      <name val="Calibri"/>
      <family val="2"/>
    </font>
    <font>
      <b/>
      <sz val="10"/>
      <color rgb="FF1F4E79"/>
      <name val="Calibri"/>
      <family val="2"/>
    </font>
    <font>
      <b/>
      <sz val="11"/>
      <color rgb="FFFFFFFF"/>
      <name val="Calibri"/>
      <family val="2"/>
    </font>
    <font>
      <sz val="10"/>
      <name val="Calibri"/>
      <family val="2"/>
    </font>
    <font>
      <sz val="10"/>
      <color rgb="FF666666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b/>
      <sz val="11"/>
      <color rgb="FF1F4E79"/>
      <name val="Calibri"/>
      <family val="2"/>
    </font>
    <font>
      <b/>
      <sz val="11"/>
      <color rgb="FFE15759"/>
      <name val="Calibri"/>
      <family val="2"/>
    </font>
    <font>
      <sz val="9"/>
      <name val="Consolas"/>
      <family val="3"/>
    </font>
    <font>
      <sz val="10"/>
      <color rgb="FF0000FF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E2EFDA"/>
        <bgColor rgb="FFE2EFDA"/>
      </patternFill>
    </fill>
    <fill>
      <patternFill patternType="solid">
        <fgColor rgb="FF1F4E79"/>
        <bgColor rgb="FF1F4E79"/>
      </patternFill>
    </fill>
    <fill>
      <patternFill patternType="solid">
        <fgColor rgb="FFF2F2F2"/>
        <bgColor rgb="FFF2F2F2"/>
      </patternFill>
    </fill>
    <fill>
      <patternFill patternType="solid">
        <fgColor rgb="FFFFF2CC"/>
        <bgColor rgb="FFFFF2CC"/>
      </patternFill>
    </fill>
  </fills>
  <borders count="3">
    <border>
      <left/>
      <right/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B4C6E7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5" fillId="4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2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3" fontId="4" fillId="3" borderId="0" xfId="0" applyNumberFormat="1" applyFont="1" applyFill="1" applyProtection="1">
      <protection locked="0"/>
    </xf>
    <xf numFmtId="0" fontId="4" fillId="3" borderId="0" xfId="0" applyFont="1" applyFill="1" applyProtection="1">
      <protection locked="0"/>
    </xf>
    <xf numFmtId="4" fontId="4" fillId="3" borderId="0" xfId="0" applyNumberFormat="1" applyFont="1" applyFill="1" applyProtection="1">
      <protection locked="0"/>
    </xf>
    <xf numFmtId="164" fontId="4" fillId="3" borderId="0" xfId="0" applyNumberFormat="1" applyFont="1" applyFill="1" applyProtection="1">
      <protection locked="0"/>
    </xf>
    <xf numFmtId="0" fontId="5" fillId="4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3" fontId="6" fillId="0" borderId="1" xfId="0" applyNumberFormat="1" applyFont="1" applyBorder="1" applyAlignment="1" applyProtection="1">
      <alignment horizontal="center" vertical="center" wrapText="1"/>
      <protection locked="0"/>
    </xf>
    <xf numFmtId="0" fontId="6" fillId="5" borderId="1" xfId="0" applyFont="1" applyFill="1" applyBorder="1" applyAlignment="1" applyProtection="1">
      <alignment horizontal="left" vertical="center" wrapText="1"/>
      <protection locked="0"/>
    </xf>
    <xf numFmtId="3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left" vertical="center" wrapText="1"/>
      <protection locked="0"/>
    </xf>
    <xf numFmtId="0" fontId="13" fillId="6" borderId="1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2" fontId="8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2" fontId="9" fillId="3" borderId="1" xfId="0" applyNumberFormat="1" applyFont="1" applyFill="1" applyBorder="1" applyAlignment="1">
      <alignment horizontal="center" vertical="center" wrapText="1"/>
    </xf>
    <xf numFmtId="164" fontId="9" fillId="3" borderId="1" xfId="0" applyNumberFormat="1" applyFont="1" applyFill="1" applyBorder="1" applyAlignment="1">
      <alignment horizontal="center" vertical="center" wrapText="1"/>
    </xf>
    <xf numFmtId="0" fontId="0" fillId="6" borderId="1" xfId="0" applyFill="1" applyBorder="1" applyProtection="1">
      <protection locked="0"/>
    </xf>
    <xf numFmtId="0" fontId="2" fillId="2" borderId="0" xfId="0" applyFont="1" applyFill="1"/>
    <xf numFmtId="0" fontId="3" fillId="0" borderId="0" xfId="0" applyFont="1"/>
    <xf numFmtId="0" fontId="11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7" fillId="0" borderId="0" xfId="0" applyFont="1" applyAlignment="1" applyProtection="1">
      <alignment horizontal="left" wrapText="1"/>
      <protection locked="0"/>
    </xf>
    <xf numFmtId="0" fontId="7" fillId="0" borderId="2" xfId="0" applyFont="1" applyBorder="1" applyAlignment="1" applyProtection="1">
      <alignment horizontal="left" wrapText="1"/>
      <protection locked="0"/>
    </xf>
    <xf numFmtId="0" fontId="1" fillId="0" borderId="0" xfId="0" applyFont="1" applyAlignment="1" applyProtection="1">
      <alignment horizontal="left" vertical="center"/>
      <protection locked="0"/>
    </xf>
    <xf numFmtId="164" fontId="5" fillId="4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Stock by Category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Dashboard!$B$11</c:f>
              <c:strCache>
                <c:ptCount val="1"/>
                <c:pt idx="0">
                  <c:v>Inbound Qty</c:v>
                </c:pt>
              </c:strCache>
            </c:strRef>
          </c:tx>
          <c:spPr>
            <a:solidFill>
              <a:srgbClr val="4E79A7"/>
            </a:solidFill>
            <a:ln>
              <a:prstDash val="solid"/>
            </a:ln>
          </c:spPr>
          <c:invertIfNegative val="1"/>
          <c:cat>
            <c:strRef>
              <c:f>Dashboard!$A$12:$A$16</c:f>
              <c:strCache>
                <c:ptCount val="5"/>
                <c:pt idx="0">
                  <c:v>Electronics</c:v>
                </c:pt>
                <c:pt idx="1">
                  <c:v>Furniture</c:v>
                </c:pt>
                <c:pt idx="2">
                  <c:v>Office Supplies</c:v>
                </c:pt>
                <c:pt idx="3">
                  <c:v>Packaging</c:v>
                </c:pt>
                <c:pt idx="4">
                  <c:v>Cleaning</c:v>
                </c:pt>
              </c:strCache>
            </c:strRef>
          </c:cat>
          <c:val>
            <c:numRef>
              <c:f>Dashboard!$B$12:$B$16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A90-4403-93C8-3D0340884DFB}"/>
            </c:ext>
          </c:extLst>
        </c:ser>
        <c:ser>
          <c:idx val="1"/>
          <c:order val="1"/>
          <c:tx>
            <c:strRef>
              <c:f>Dashboard!$C$11</c:f>
              <c:strCache>
                <c:ptCount val="1"/>
                <c:pt idx="0">
                  <c:v>Outbound Qty</c:v>
                </c:pt>
              </c:strCache>
            </c:strRef>
          </c:tx>
          <c:spPr>
            <a:solidFill>
              <a:srgbClr val="F28E2B"/>
            </a:solidFill>
            <a:ln>
              <a:prstDash val="solid"/>
            </a:ln>
          </c:spPr>
          <c:invertIfNegative val="1"/>
          <c:cat>
            <c:strRef>
              <c:f>Dashboard!$A$12:$A$16</c:f>
              <c:strCache>
                <c:ptCount val="5"/>
                <c:pt idx="0">
                  <c:v>Electronics</c:v>
                </c:pt>
                <c:pt idx="1">
                  <c:v>Furniture</c:v>
                </c:pt>
                <c:pt idx="2">
                  <c:v>Office Supplies</c:v>
                </c:pt>
                <c:pt idx="3">
                  <c:v>Packaging</c:v>
                </c:pt>
                <c:pt idx="4">
                  <c:v>Cleaning</c:v>
                </c:pt>
              </c:strCache>
            </c:strRef>
          </c:cat>
          <c:val>
            <c:numRef>
              <c:f>Dashboard!$C$12:$C$16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5A90-4403-93C8-3D0340884DFB}"/>
            </c:ext>
          </c:extLst>
        </c:ser>
        <c:ser>
          <c:idx val="2"/>
          <c:order val="2"/>
          <c:tx>
            <c:strRef>
              <c:f>Dashboard!$D$11</c:f>
              <c:strCache>
                <c:ptCount val="1"/>
                <c:pt idx="0">
                  <c:v>Current Stock</c:v>
                </c:pt>
              </c:strCache>
            </c:strRef>
          </c:tx>
          <c:spPr>
            <a:solidFill>
              <a:srgbClr val="59A14F"/>
            </a:solidFill>
            <a:ln>
              <a:prstDash val="solid"/>
            </a:ln>
          </c:spPr>
          <c:invertIfNegative val="1"/>
          <c:cat>
            <c:strRef>
              <c:f>Dashboard!$A$12:$A$16</c:f>
              <c:strCache>
                <c:ptCount val="5"/>
                <c:pt idx="0">
                  <c:v>Electronics</c:v>
                </c:pt>
                <c:pt idx="1">
                  <c:v>Furniture</c:v>
                </c:pt>
                <c:pt idx="2">
                  <c:v>Office Supplies</c:v>
                </c:pt>
                <c:pt idx="3">
                  <c:v>Packaging</c:v>
                </c:pt>
                <c:pt idx="4">
                  <c:v>Cleaning</c:v>
                </c:pt>
              </c:strCache>
            </c:strRef>
          </c:cat>
          <c:val>
            <c:numRef>
              <c:f>Dashboard!$D$12:$D$16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5A90-4403-93C8-3D0340884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Category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Quantity</a:t>
                </a:r>
              </a:p>
            </c:rich>
          </c:tx>
          <c:overlay val="1"/>
        </c:title>
        <c:numFmt formatCode="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17</xdr:row>
      <xdr:rowOff>0</xdr:rowOff>
    </xdr:from>
    <xdr:ext cx="648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63500</xdr:rowOff>
        </xdr:from>
        <xdr:to>
          <xdr:col>5</xdr:col>
          <xdr:colOff>107950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 Inbound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63500</xdr:rowOff>
        </xdr:from>
        <xdr:to>
          <xdr:col>5</xdr:col>
          <xdr:colOff>107950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 Inbound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63500</xdr:rowOff>
        </xdr:from>
        <xdr:to>
          <xdr:col>5</xdr:col>
          <xdr:colOff>107950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Record Inbound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4</xdr:row>
          <xdr:rowOff>19050</xdr:rowOff>
        </xdr:from>
        <xdr:to>
          <xdr:col>5</xdr:col>
          <xdr:colOff>107950</xdr:colOff>
          <xdr:row>6</xdr:row>
          <xdr:rowOff>31750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 Outbound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63500</xdr:rowOff>
        </xdr:from>
        <xdr:to>
          <xdr:col>5</xdr:col>
          <xdr:colOff>107950</xdr:colOff>
          <xdr:row>3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 Inbound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4</xdr:row>
          <xdr:rowOff>19050</xdr:rowOff>
        </xdr:from>
        <xdr:to>
          <xdr:col>5</xdr:col>
          <xdr:colOff>107950</xdr:colOff>
          <xdr:row>6</xdr:row>
          <xdr:rowOff>31750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 Outbound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1</xdr:row>
          <xdr:rowOff>63500</xdr:rowOff>
        </xdr:from>
        <xdr:to>
          <xdr:col>5</xdr:col>
          <xdr:colOff>679450</xdr:colOff>
          <xdr:row>3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1</xdr:row>
          <xdr:rowOff>63500</xdr:rowOff>
        </xdr:from>
        <xdr:to>
          <xdr:col>5</xdr:col>
          <xdr:colOff>679450</xdr:colOff>
          <xdr:row>3</xdr:row>
          <xdr:rowOff>63500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4</xdr:row>
          <xdr:rowOff>50800</xdr:rowOff>
        </xdr:from>
        <xdr:to>
          <xdr:col>5</xdr:col>
          <xdr:colOff>685800</xdr:colOff>
          <xdr:row>6</xdr:row>
          <xdr:rowOff>63500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991DFE9-76B3-B77D-B146-4CD7D8365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7"/>
  <sheetViews>
    <sheetView tabSelected="1" workbookViewId="0">
      <selection sqref="A1:F1"/>
    </sheetView>
  </sheetViews>
  <sheetFormatPr defaultColWidth="8.7265625" defaultRowHeight="14.5" x14ac:dyDescent="0.35"/>
  <cols>
    <col min="1" max="2" width="18" style="2" customWidth="1"/>
    <col min="3" max="3" width="15.81640625" style="2" customWidth="1"/>
    <col min="4" max="5" width="18" style="2" customWidth="1"/>
    <col min="6" max="6" width="3" style="2" customWidth="1"/>
    <col min="7" max="16384" width="8.7265625" style="2"/>
  </cols>
  <sheetData>
    <row r="1" spans="1:6" ht="35.15" customHeight="1" x14ac:dyDescent="0.35">
      <c r="A1" s="31" t="s">
        <v>0</v>
      </c>
      <c r="B1" s="32"/>
      <c r="C1" s="32"/>
      <c r="D1" s="32"/>
      <c r="E1" s="32"/>
      <c r="F1" s="32"/>
    </row>
    <row r="3" spans="1:6" ht="15.5" x14ac:dyDescent="0.35">
      <c r="A3" s="3" t="s">
        <v>1</v>
      </c>
    </row>
    <row r="4" spans="1:6" x14ac:dyDescent="0.35">
      <c r="A4" s="4" t="s">
        <v>2</v>
      </c>
      <c r="B4" s="5">
        <f>COUNTA(Database!A2:A992)</f>
        <v>62</v>
      </c>
      <c r="D4" s="4" t="s">
        <v>3</v>
      </c>
      <c r="E4" s="6">
        <f>B5-E5</f>
        <v>1261</v>
      </c>
    </row>
    <row r="5" spans="1:6" x14ac:dyDescent="0.35">
      <c r="A5" s="4" t="s">
        <v>4</v>
      </c>
      <c r="B5" s="6">
        <f>SUMIF(Database!I2:I992,"Inbound",Database!D2:D992)</f>
        <v>1261</v>
      </c>
      <c r="D5" s="4" t="s">
        <v>5</v>
      </c>
      <c r="E5" s="5">
        <f>SUMIF(Database!I2:I992,"Outbound",Database!D2:D992)</f>
        <v>0</v>
      </c>
    </row>
    <row r="6" spans="1:6" x14ac:dyDescent="0.35">
      <c r="A6" s="4" t="s">
        <v>6</v>
      </c>
      <c r="B6" s="6">
        <f>COUNTA(Database!C2:C992)</f>
        <v>0</v>
      </c>
    </row>
    <row r="7" spans="1:6" x14ac:dyDescent="0.35">
      <c r="A7" s="4" t="s">
        <v>7</v>
      </c>
      <c r="B7" s="7">
        <f>SUM(Database!G2:G992)</f>
        <v>19157.123500000002</v>
      </c>
    </row>
    <row r="8" spans="1:6" x14ac:dyDescent="0.35">
      <c r="A8" s="4" t="s">
        <v>8</v>
      </c>
      <c r="B8" s="7">
        <f>IFERROR(AVERAGE(Database!F2:F992),0)</f>
        <v>213.17734838709674</v>
      </c>
      <c r="D8" s="4" t="s">
        <v>9</v>
      </c>
      <c r="E8" s="8">
        <f>MAX(Database!H:H)</f>
        <v>46287</v>
      </c>
    </row>
    <row r="10" spans="1:6" ht="15.5" x14ac:dyDescent="0.35">
      <c r="A10" s="3" t="s">
        <v>10</v>
      </c>
    </row>
    <row r="11" spans="1:6" x14ac:dyDescent="0.35">
      <c r="A11" s="9" t="s">
        <v>11</v>
      </c>
      <c r="B11" s="9" t="s">
        <v>12</v>
      </c>
      <c r="C11" s="9" t="s">
        <v>13</v>
      </c>
      <c r="D11" s="9" t="s">
        <v>14</v>
      </c>
    </row>
    <row r="12" spans="1:6" x14ac:dyDescent="0.35">
      <c r="A12" s="10" t="s">
        <v>15</v>
      </c>
      <c r="B12" s="11" t="e">
        <f>SUMIF(Database!#REF!,"Electronics",Database!D2:D992)</f>
        <v>#REF!</v>
      </c>
      <c r="C12" s="11" t="e">
        <f>SUMPRODUCT((Database!#REF!="Electronics")*(Database!I2:I992="Outbound")*Database!D2:D992)</f>
        <v>#REF!</v>
      </c>
      <c r="D12" s="11" t="e">
        <f>B12-C12</f>
        <v>#REF!</v>
      </c>
      <c r="E12" s="2" t="s">
        <v>229</v>
      </c>
    </row>
    <row r="13" spans="1:6" x14ac:dyDescent="0.35">
      <c r="A13" s="12" t="s">
        <v>16</v>
      </c>
      <c r="B13" s="13" t="e">
        <f>SUMIF(Database!#REF!,"Furniture",Database!D2:D992)</f>
        <v>#REF!</v>
      </c>
      <c r="C13" s="13" t="e">
        <f>SUMPRODUCT((Database!#REF!="Furniture")*(Database!I2:I992="Outbound")*Database!D2:D992)</f>
        <v>#REF!</v>
      </c>
      <c r="D13" s="13" t="e">
        <f>B13-C13</f>
        <v>#REF!</v>
      </c>
      <c r="E13" s="2" t="s">
        <v>230</v>
      </c>
    </row>
    <row r="14" spans="1:6" x14ac:dyDescent="0.35">
      <c r="A14" s="10" t="s">
        <v>17</v>
      </c>
      <c r="B14" s="11" t="e">
        <f>SUMIF(Database!#REF!,"Office Supplies",Database!D2:D992)</f>
        <v>#REF!</v>
      </c>
      <c r="C14" s="11" t="e">
        <f>SUMPRODUCT((Database!#REF!="Office Supplies")*(Database!I2:I992="Outbound")*Database!D2:D992)</f>
        <v>#REF!</v>
      </c>
      <c r="D14" s="11" t="e">
        <f>B14-C14</f>
        <v>#REF!</v>
      </c>
      <c r="E14" s="2" t="s">
        <v>230</v>
      </c>
    </row>
    <row r="15" spans="1:6" x14ac:dyDescent="0.35">
      <c r="A15" s="12" t="s">
        <v>18</v>
      </c>
      <c r="B15" s="13" t="e">
        <f>SUMIF(Database!#REF!,"Packaging",Database!D2:D992)</f>
        <v>#REF!</v>
      </c>
      <c r="C15" s="13" t="e">
        <f>SUMPRODUCT((Database!#REF!="Packaging")*(Database!I2:I992="Outbound")*Database!D2:D992)</f>
        <v>#REF!</v>
      </c>
      <c r="D15" s="13" t="e">
        <f>B15-C15</f>
        <v>#REF!</v>
      </c>
      <c r="E15" s="2" t="s">
        <v>230</v>
      </c>
    </row>
    <row r="16" spans="1:6" x14ac:dyDescent="0.35">
      <c r="A16" s="10" t="s">
        <v>19</v>
      </c>
      <c r="B16" s="11" t="e">
        <f>SUMIF(Database!#REF!,"Cleaning",Database!D2:D992)</f>
        <v>#REF!</v>
      </c>
      <c r="C16" s="11" t="e">
        <f>SUMPRODUCT((Database!#REF!="Cleaning")*(Database!I2:I992="Outbound")*Database!D2:D992)</f>
        <v>#REF!</v>
      </c>
      <c r="D16" s="11" t="e">
        <f>B16-C16</f>
        <v>#REF!</v>
      </c>
      <c r="E16" s="2" t="s">
        <v>230</v>
      </c>
    </row>
    <row r="17" spans="5:5" x14ac:dyDescent="0.35">
      <c r="E17" s="2" t="s">
        <v>230</v>
      </c>
    </row>
  </sheetData>
  <mergeCells count="1">
    <mergeCell ref="A1:F1"/>
  </mergeCells>
  <pageMargins left="0.75" right="0.75" top="1" bottom="1" header="0.5" footer="0.5"/>
  <ignoredErrors>
    <ignoredError sqref="B5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workbookViewId="0">
      <selection sqref="A1:H1"/>
    </sheetView>
  </sheetViews>
  <sheetFormatPr defaultColWidth="8.7265625" defaultRowHeight="14.5" x14ac:dyDescent="0.35"/>
  <cols>
    <col min="1" max="1" width="20" style="2" customWidth="1"/>
    <col min="2" max="2" width="25" style="2" customWidth="1"/>
    <col min="3" max="16384" width="8.7265625" style="2"/>
  </cols>
  <sheetData>
    <row r="1" spans="1:8" ht="35.15" customHeight="1" x14ac:dyDescent="0.35">
      <c r="A1" s="31" t="s">
        <v>20</v>
      </c>
      <c r="B1" s="32"/>
      <c r="C1" s="32"/>
      <c r="D1" s="32"/>
      <c r="E1" s="32"/>
      <c r="F1" s="32"/>
      <c r="G1" s="32"/>
      <c r="H1" s="32"/>
    </row>
    <row r="2" spans="1:8" x14ac:dyDescent="0.35">
      <c r="A2" s="33" t="s">
        <v>21</v>
      </c>
      <c r="B2" s="33"/>
    </row>
    <row r="3" spans="1:8" x14ac:dyDescent="0.35">
      <c r="A3" s="34"/>
      <c r="B3" s="34"/>
    </row>
    <row r="4" spans="1:8" x14ac:dyDescent="0.35">
      <c r="A4" s="14" t="s">
        <v>80</v>
      </c>
      <c r="B4" s="15"/>
    </row>
    <row r="5" spans="1:8" x14ac:dyDescent="0.35">
      <c r="A5" s="14" t="s">
        <v>29</v>
      </c>
      <c r="B5" s="15"/>
    </row>
    <row r="6" spans="1:8" x14ac:dyDescent="0.35">
      <c r="A6" s="14" t="s">
        <v>28</v>
      </c>
      <c r="B6" s="15"/>
    </row>
    <row r="7" spans="1:8" x14ac:dyDescent="0.35">
      <c r="A7" s="14" t="s">
        <v>30</v>
      </c>
      <c r="B7" s="16"/>
    </row>
    <row r="8" spans="1:8" x14ac:dyDescent="0.35">
      <c r="A8" s="14" t="s">
        <v>31</v>
      </c>
      <c r="B8" s="16"/>
    </row>
    <row r="9" spans="1:8" x14ac:dyDescent="0.35">
      <c r="A9" s="14" t="s">
        <v>81</v>
      </c>
      <c r="B9" s="17"/>
    </row>
    <row r="10" spans="1:8" x14ac:dyDescent="0.35">
      <c r="A10" s="14" t="s">
        <v>82</v>
      </c>
      <c r="B10" s="21">
        <f>B7*B9</f>
        <v>0</v>
      </c>
    </row>
    <row r="11" spans="1:8" x14ac:dyDescent="0.35">
      <c r="A11" s="14" t="s">
        <v>34</v>
      </c>
      <c r="B11" s="22">
        <f ca="1">TODAY()</f>
        <v>46289</v>
      </c>
    </row>
    <row r="12" spans="1:8" hidden="1" x14ac:dyDescent="0.35">
      <c r="A12" s="14" t="s">
        <v>22</v>
      </c>
      <c r="B12" s="16"/>
    </row>
    <row r="13" spans="1:8" x14ac:dyDescent="0.35">
      <c r="A13" s="14" t="s">
        <v>36</v>
      </c>
      <c r="B13" s="16"/>
    </row>
    <row r="15" spans="1:8" x14ac:dyDescent="0.35">
      <c r="A15" s="18" t="s">
        <v>23</v>
      </c>
    </row>
    <row r="16" spans="1:8" x14ac:dyDescent="0.35">
      <c r="A16" s="19" t="s">
        <v>24</v>
      </c>
    </row>
    <row r="17" spans="1:1" x14ac:dyDescent="0.35">
      <c r="A17" s="19" t="s">
        <v>25</v>
      </c>
    </row>
    <row r="18" spans="1:1" x14ac:dyDescent="0.35">
      <c r="A18" s="19" t="s">
        <v>26</v>
      </c>
    </row>
    <row r="19" spans="1:1" x14ac:dyDescent="0.35">
      <c r="A19" s="20" t="s">
        <v>27</v>
      </c>
    </row>
  </sheetData>
  <mergeCells count="2">
    <mergeCell ref="A1:H1"/>
    <mergeCell ref="A2:B3"/>
  </mergeCells>
  <dataValidations count="2">
    <dataValidation type="list" allowBlank="1" errorTitle="Invalid Status" error="Please select Inbound or Outbound" sqref="B12" xr:uid="{00000000-0002-0000-0100-000000000000}">
      <formula1>"Inbound,Outbound"</formula1>
    </dataValidation>
    <dataValidation type="list" allowBlank="1" sqref="B8" xr:uid="{00000000-0002-0000-0100-000001000000}">
      <formula1>"pcs,boxes,kg,liters,rolls,sheets,packs,sets"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cordInbound">
                <anchor moveWithCells="1" sizeWithCells="1">
                  <from>
                    <xdr:col>2</xdr:col>
                    <xdr:colOff>412750</xdr:colOff>
                    <xdr:row>1</xdr:row>
                    <xdr:rowOff>63500</xdr:rowOff>
                  </from>
                  <to>
                    <xdr:col>5</xdr:col>
                    <xdr:colOff>107950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cordInbound">
                <anchor moveWithCells="1" sizeWithCells="1">
                  <from>
                    <xdr:col>2</xdr:col>
                    <xdr:colOff>412750</xdr:colOff>
                    <xdr:row>1</xdr:row>
                    <xdr:rowOff>63500</xdr:rowOff>
                  </from>
                  <to>
                    <xdr:col>5</xdr:col>
                    <xdr:colOff>107950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cordInbound">
                <anchor moveWithCells="1" sizeWithCells="1">
                  <from>
                    <xdr:col>2</xdr:col>
                    <xdr:colOff>412750</xdr:colOff>
                    <xdr:row>1</xdr:row>
                    <xdr:rowOff>63500</xdr:rowOff>
                  </from>
                  <to>
                    <xdr:col>5</xdr:col>
                    <xdr:colOff>107950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cordOutbound">
                <anchor moveWithCells="1" sizeWithCells="1">
                  <from>
                    <xdr:col>2</xdr:col>
                    <xdr:colOff>412750</xdr:colOff>
                    <xdr:row>4</xdr:row>
                    <xdr:rowOff>19050</xdr:rowOff>
                  </from>
                  <to>
                    <xdr:col>5</xdr:col>
                    <xdr:colOff>107950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cordInbound">
                <anchor moveWithCells="1" sizeWithCells="1">
                  <from>
                    <xdr:col>2</xdr:col>
                    <xdr:colOff>412750</xdr:colOff>
                    <xdr:row>1</xdr:row>
                    <xdr:rowOff>63500</xdr:rowOff>
                  </from>
                  <to>
                    <xdr:col>5</xdr:col>
                    <xdr:colOff>107950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RecordOutbound">
                <anchor moveWithCells="1" sizeWithCells="1">
                  <from>
                    <xdr:col>2</xdr:col>
                    <xdr:colOff>412750</xdr:colOff>
                    <xdr:row>4</xdr:row>
                    <xdr:rowOff>19050</xdr:rowOff>
                  </from>
                  <to>
                    <xdr:col>5</xdr:col>
                    <xdr:colOff>107950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63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8.54296875" bestFit="1" customWidth="1"/>
    <col min="2" max="2" width="92.54296875" bestFit="1" customWidth="1"/>
    <col min="3" max="3" width="8.36328125" bestFit="1" customWidth="1"/>
    <col min="4" max="4" width="12.7265625" bestFit="1" customWidth="1"/>
    <col min="5" max="5" width="8.90625" bestFit="1" customWidth="1"/>
    <col min="6" max="6" width="16.1796875" bestFit="1" customWidth="1"/>
    <col min="7" max="7" width="17.6328125" bestFit="1" customWidth="1"/>
    <col min="8" max="8" width="11.08984375" style="37" bestFit="1" customWidth="1"/>
    <col min="9" max="9" width="10.6328125" bestFit="1" customWidth="1"/>
    <col min="10" max="10" width="10.81640625" bestFit="1" customWidth="1"/>
    <col min="11" max="11" width="16.6328125" bestFit="1" customWidth="1"/>
    <col min="12" max="12" width="17.453125" bestFit="1" customWidth="1"/>
  </cols>
  <sheetData>
    <row r="1" spans="1:11" x14ac:dyDescent="0.35">
      <c r="A1" s="1" t="s">
        <v>80</v>
      </c>
      <c r="B1" s="1" t="s">
        <v>29</v>
      </c>
      <c r="C1" s="1" t="s">
        <v>28</v>
      </c>
      <c r="D1" s="1" t="s">
        <v>30</v>
      </c>
      <c r="E1" s="1" t="s">
        <v>31</v>
      </c>
      <c r="F1" s="1" t="s">
        <v>32</v>
      </c>
      <c r="G1" s="1" t="s">
        <v>33</v>
      </c>
      <c r="H1" s="36" t="s">
        <v>34</v>
      </c>
      <c r="I1" s="1" t="s">
        <v>35</v>
      </c>
      <c r="J1" s="1" t="s">
        <v>36</v>
      </c>
    </row>
    <row r="2" spans="1:11" x14ac:dyDescent="0.35">
      <c r="A2" t="s">
        <v>84</v>
      </c>
      <c r="B2" t="s">
        <v>85</v>
      </c>
      <c r="D2">
        <v>50</v>
      </c>
      <c r="F2">
        <v>0.69599999999999995</v>
      </c>
      <c r="G2">
        <f>D2*F2</f>
        <v>34.799999999999997</v>
      </c>
      <c r="H2" s="37">
        <v>46287</v>
      </c>
      <c r="I2" t="s">
        <v>228</v>
      </c>
      <c r="J2" t="s">
        <v>86</v>
      </c>
      <c r="K2" t="s">
        <v>87</v>
      </c>
    </row>
    <row r="3" spans="1:11" x14ac:dyDescent="0.35">
      <c r="A3" t="s">
        <v>88</v>
      </c>
      <c r="B3" t="s">
        <v>89</v>
      </c>
      <c r="D3">
        <v>10</v>
      </c>
      <c r="F3">
        <v>6.7012</v>
      </c>
      <c r="G3">
        <f t="shared" ref="G3:G63" si="0">D3*F3</f>
        <v>67.012</v>
      </c>
      <c r="H3" s="37">
        <v>46287</v>
      </c>
      <c r="I3" t="s">
        <v>228</v>
      </c>
      <c r="J3" t="s">
        <v>90</v>
      </c>
      <c r="K3" t="s">
        <v>87</v>
      </c>
    </row>
    <row r="4" spans="1:11" x14ac:dyDescent="0.35">
      <c r="A4" t="s">
        <v>91</v>
      </c>
      <c r="B4" s="28" t="s">
        <v>92</v>
      </c>
      <c r="D4">
        <v>10</v>
      </c>
      <c r="F4">
        <v>6.5285000000000002</v>
      </c>
      <c r="G4">
        <f t="shared" si="0"/>
        <v>65.284999999999997</v>
      </c>
      <c r="H4" s="37">
        <v>46287</v>
      </c>
      <c r="I4" t="s">
        <v>228</v>
      </c>
      <c r="J4" t="s">
        <v>90</v>
      </c>
      <c r="K4" t="s">
        <v>87</v>
      </c>
    </row>
    <row r="5" spans="1:11" x14ac:dyDescent="0.35">
      <c r="A5" t="s">
        <v>93</v>
      </c>
      <c r="B5" s="28" t="s">
        <v>94</v>
      </c>
      <c r="D5">
        <v>10</v>
      </c>
      <c r="F5">
        <v>12.657999999999999</v>
      </c>
      <c r="G5">
        <f t="shared" si="0"/>
        <v>126.58</v>
      </c>
      <c r="H5" s="37">
        <v>46287</v>
      </c>
      <c r="I5" t="s">
        <v>228</v>
      </c>
      <c r="J5" t="s">
        <v>90</v>
      </c>
      <c r="K5" t="s">
        <v>87</v>
      </c>
    </row>
    <row r="6" spans="1:11" x14ac:dyDescent="0.35">
      <c r="A6" t="s">
        <v>95</v>
      </c>
      <c r="B6" s="28" t="s">
        <v>96</v>
      </c>
      <c r="D6">
        <v>10</v>
      </c>
      <c r="F6">
        <v>7.0781000000000001</v>
      </c>
      <c r="G6">
        <f t="shared" si="0"/>
        <v>70.781000000000006</v>
      </c>
      <c r="H6" s="37">
        <v>46287</v>
      </c>
      <c r="I6" t="s">
        <v>228</v>
      </c>
      <c r="J6" t="s">
        <v>90</v>
      </c>
      <c r="K6" t="s">
        <v>87</v>
      </c>
    </row>
    <row r="7" spans="1:11" x14ac:dyDescent="0.35">
      <c r="A7" t="s">
        <v>97</v>
      </c>
      <c r="B7" s="28" t="s">
        <v>98</v>
      </c>
      <c r="D7">
        <v>10</v>
      </c>
      <c r="F7">
        <v>9.7786000000000008</v>
      </c>
      <c r="G7">
        <f t="shared" si="0"/>
        <v>97.786000000000001</v>
      </c>
      <c r="H7" s="37">
        <v>46287</v>
      </c>
      <c r="I7" t="s">
        <v>228</v>
      </c>
      <c r="J7" t="s">
        <v>90</v>
      </c>
      <c r="K7" t="s">
        <v>87</v>
      </c>
    </row>
    <row r="8" spans="1:11" x14ac:dyDescent="0.35">
      <c r="A8" t="s">
        <v>99</v>
      </c>
      <c r="B8" s="28" t="s">
        <v>100</v>
      </c>
      <c r="D8">
        <v>10</v>
      </c>
      <c r="F8">
        <v>6.7107000000000001</v>
      </c>
      <c r="G8">
        <f t="shared" si="0"/>
        <v>67.106999999999999</v>
      </c>
      <c r="H8" s="37">
        <v>46287</v>
      </c>
      <c r="I8" t="s">
        <v>228</v>
      </c>
      <c r="J8" t="s">
        <v>90</v>
      </c>
      <c r="K8" t="s">
        <v>87</v>
      </c>
    </row>
    <row r="9" spans="1:11" x14ac:dyDescent="0.35">
      <c r="A9" t="s">
        <v>101</v>
      </c>
      <c r="B9" s="28" t="s">
        <v>102</v>
      </c>
      <c r="D9">
        <v>50</v>
      </c>
      <c r="F9">
        <v>1.5139</v>
      </c>
      <c r="G9">
        <f t="shared" si="0"/>
        <v>75.695000000000007</v>
      </c>
      <c r="H9" s="37">
        <v>46287</v>
      </c>
      <c r="I9" t="s">
        <v>228</v>
      </c>
      <c r="J9" t="s">
        <v>90</v>
      </c>
      <c r="K9" t="s">
        <v>87</v>
      </c>
    </row>
    <row r="10" spans="1:11" x14ac:dyDescent="0.35">
      <c r="A10" t="s">
        <v>103</v>
      </c>
      <c r="B10" s="28" t="s">
        <v>104</v>
      </c>
      <c r="D10">
        <v>50</v>
      </c>
      <c r="F10">
        <v>1.4336</v>
      </c>
      <c r="G10">
        <f t="shared" si="0"/>
        <v>71.679999999999993</v>
      </c>
      <c r="H10" s="37">
        <v>46287</v>
      </c>
      <c r="I10" t="s">
        <v>228</v>
      </c>
      <c r="J10" t="s">
        <v>90</v>
      </c>
      <c r="K10" t="s">
        <v>87</v>
      </c>
    </row>
    <row r="11" spans="1:11" x14ac:dyDescent="0.35">
      <c r="A11" t="s">
        <v>105</v>
      </c>
      <c r="B11" s="28" t="s">
        <v>106</v>
      </c>
      <c r="D11">
        <v>20</v>
      </c>
      <c r="F11">
        <v>5.0948000000000002</v>
      </c>
      <c r="G11">
        <f t="shared" si="0"/>
        <v>101.896</v>
      </c>
      <c r="H11" s="37">
        <v>46287</v>
      </c>
      <c r="I11" t="s">
        <v>228</v>
      </c>
      <c r="J11" t="s">
        <v>90</v>
      </c>
      <c r="K11" t="s">
        <v>87</v>
      </c>
    </row>
    <row r="12" spans="1:11" x14ac:dyDescent="0.35">
      <c r="A12" t="s">
        <v>107</v>
      </c>
      <c r="B12" s="28" t="s">
        <v>108</v>
      </c>
      <c r="D12">
        <v>20</v>
      </c>
      <c r="F12">
        <v>4.0701000000000001</v>
      </c>
      <c r="G12">
        <f t="shared" si="0"/>
        <v>81.402000000000001</v>
      </c>
      <c r="H12" s="37">
        <v>46287</v>
      </c>
      <c r="I12" t="s">
        <v>228</v>
      </c>
      <c r="J12" t="s">
        <v>90</v>
      </c>
      <c r="K12" t="s">
        <v>87</v>
      </c>
    </row>
    <row r="13" spans="1:11" x14ac:dyDescent="0.35">
      <c r="A13" t="s">
        <v>109</v>
      </c>
      <c r="B13" s="28" t="s">
        <v>110</v>
      </c>
      <c r="D13">
        <v>20</v>
      </c>
      <c r="F13">
        <v>5.2674000000000003</v>
      </c>
      <c r="G13">
        <f t="shared" si="0"/>
        <v>105.34800000000001</v>
      </c>
      <c r="H13" s="37">
        <v>46287</v>
      </c>
      <c r="I13" t="s">
        <v>228</v>
      </c>
      <c r="J13" t="s">
        <v>90</v>
      </c>
      <c r="K13" t="s">
        <v>87</v>
      </c>
    </row>
    <row r="14" spans="1:11" x14ac:dyDescent="0.35">
      <c r="A14" t="s">
        <v>111</v>
      </c>
      <c r="B14" s="28" t="s">
        <v>112</v>
      </c>
      <c r="D14">
        <v>31</v>
      </c>
      <c r="F14">
        <v>8.1385000000000005</v>
      </c>
      <c r="G14">
        <f t="shared" si="0"/>
        <v>252.29350000000002</v>
      </c>
      <c r="H14" s="37">
        <v>46287</v>
      </c>
      <c r="I14" t="s">
        <v>228</v>
      </c>
      <c r="J14" t="s">
        <v>90</v>
      </c>
      <c r="K14" t="s">
        <v>87</v>
      </c>
    </row>
    <row r="15" spans="1:11" x14ac:dyDescent="0.35">
      <c r="A15" t="s">
        <v>113</v>
      </c>
      <c r="B15" s="28" t="s">
        <v>114</v>
      </c>
      <c r="D15">
        <v>20</v>
      </c>
      <c r="F15">
        <v>6.3715000000000002</v>
      </c>
      <c r="G15">
        <f t="shared" si="0"/>
        <v>127.43</v>
      </c>
      <c r="H15" s="37">
        <v>46287</v>
      </c>
      <c r="I15" t="s">
        <v>228</v>
      </c>
      <c r="J15" t="s">
        <v>90</v>
      </c>
      <c r="K15" t="s">
        <v>87</v>
      </c>
    </row>
    <row r="16" spans="1:11" x14ac:dyDescent="0.35">
      <c r="A16" t="s">
        <v>115</v>
      </c>
      <c r="B16" s="28" t="s">
        <v>116</v>
      </c>
      <c r="D16">
        <v>20</v>
      </c>
      <c r="F16">
        <v>7.3304999999999998</v>
      </c>
      <c r="G16">
        <f t="shared" si="0"/>
        <v>146.60999999999999</v>
      </c>
      <c r="H16" s="37">
        <v>46287</v>
      </c>
      <c r="I16" t="s">
        <v>228</v>
      </c>
      <c r="J16" t="s">
        <v>90</v>
      </c>
      <c r="K16" t="s">
        <v>87</v>
      </c>
    </row>
    <row r="17" spans="1:11" x14ac:dyDescent="0.35">
      <c r="A17" t="s">
        <v>117</v>
      </c>
      <c r="B17" s="28" t="s">
        <v>118</v>
      </c>
      <c r="D17">
        <v>20</v>
      </c>
      <c r="F17">
        <v>2.52</v>
      </c>
      <c r="G17">
        <f t="shared" si="0"/>
        <v>50.4</v>
      </c>
      <c r="H17" s="37">
        <v>46287</v>
      </c>
      <c r="I17" t="s">
        <v>228</v>
      </c>
      <c r="J17" t="s">
        <v>119</v>
      </c>
      <c r="K17" t="s">
        <v>87</v>
      </c>
    </row>
    <row r="18" spans="1:11" x14ac:dyDescent="0.35">
      <c r="A18" t="s">
        <v>120</v>
      </c>
      <c r="B18" s="28" t="s">
        <v>121</v>
      </c>
      <c r="D18">
        <v>20</v>
      </c>
      <c r="F18">
        <v>5.2054999999999998</v>
      </c>
      <c r="G18">
        <f t="shared" si="0"/>
        <v>104.11</v>
      </c>
      <c r="H18" s="37">
        <v>46287</v>
      </c>
      <c r="I18" t="s">
        <v>228</v>
      </c>
      <c r="J18" t="s">
        <v>122</v>
      </c>
      <c r="K18" t="s">
        <v>87</v>
      </c>
    </row>
    <row r="19" spans="1:11" x14ac:dyDescent="0.35">
      <c r="A19" t="s">
        <v>123</v>
      </c>
      <c r="B19" s="28" t="s">
        <v>124</v>
      </c>
      <c r="D19">
        <v>20</v>
      </c>
      <c r="F19">
        <v>4.7031999999999998</v>
      </c>
      <c r="G19">
        <f t="shared" si="0"/>
        <v>94.063999999999993</v>
      </c>
      <c r="H19" s="37">
        <v>46287</v>
      </c>
      <c r="I19" t="s">
        <v>228</v>
      </c>
      <c r="J19" t="s">
        <v>90</v>
      </c>
      <c r="K19" t="s">
        <v>87</v>
      </c>
    </row>
    <row r="20" spans="1:11" x14ac:dyDescent="0.35">
      <c r="A20" t="s">
        <v>125</v>
      </c>
      <c r="B20" s="28" t="s">
        <v>126</v>
      </c>
      <c r="D20">
        <v>20</v>
      </c>
      <c r="F20">
        <v>7.0495999999999999</v>
      </c>
      <c r="G20">
        <f t="shared" si="0"/>
        <v>140.99199999999999</v>
      </c>
      <c r="H20" s="37">
        <v>46287</v>
      </c>
      <c r="I20" t="s">
        <v>228</v>
      </c>
      <c r="J20" t="s">
        <v>90</v>
      </c>
      <c r="K20" t="s">
        <v>87</v>
      </c>
    </row>
    <row r="21" spans="1:11" x14ac:dyDescent="0.35">
      <c r="A21" t="s">
        <v>127</v>
      </c>
      <c r="B21" s="28" t="s">
        <v>128</v>
      </c>
      <c r="D21">
        <v>10</v>
      </c>
      <c r="F21">
        <v>13.97</v>
      </c>
      <c r="G21">
        <f t="shared" si="0"/>
        <v>139.70000000000002</v>
      </c>
      <c r="H21" s="37">
        <v>46287</v>
      </c>
      <c r="I21" t="s">
        <v>228</v>
      </c>
      <c r="J21" t="s">
        <v>90</v>
      </c>
      <c r="K21" t="s">
        <v>87</v>
      </c>
    </row>
    <row r="22" spans="1:11" x14ac:dyDescent="0.35">
      <c r="A22" t="s">
        <v>129</v>
      </c>
      <c r="B22" s="28" t="s">
        <v>130</v>
      </c>
      <c r="D22">
        <v>10</v>
      </c>
      <c r="F22">
        <v>10.874000000000001</v>
      </c>
      <c r="G22">
        <f t="shared" si="0"/>
        <v>108.74000000000001</v>
      </c>
      <c r="H22" s="37">
        <v>46287</v>
      </c>
      <c r="I22" t="s">
        <v>228</v>
      </c>
      <c r="J22" t="s">
        <v>90</v>
      </c>
      <c r="K22" t="s">
        <v>87</v>
      </c>
    </row>
    <row r="23" spans="1:11" x14ac:dyDescent="0.35">
      <c r="A23" t="s">
        <v>131</v>
      </c>
      <c r="B23" s="28" t="s">
        <v>132</v>
      </c>
      <c r="D23">
        <v>10</v>
      </c>
      <c r="F23">
        <v>24.257000000000001</v>
      </c>
      <c r="G23">
        <f t="shared" si="0"/>
        <v>242.57000000000002</v>
      </c>
      <c r="H23" s="37">
        <v>46287</v>
      </c>
      <c r="I23" t="s">
        <v>228</v>
      </c>
      <c r="J23" t="s">
        <v>90</v>
      </c>
      <c r="K23" t="s">
        <v>87</v>
      </c>
    </row>
    <row r="24" spans="1:11" x14ac:dyDescent="0.35">
      <c r="A24" t="s">
        <v>133</v>
      </c>
      <c r="B24" s="28" t="s">
        <v>134</v>
      </c>
      <c r="D24">
        <v>10</v>
      </c>
      <c r="F24">
        <v>26.797999999999998</v>
      </c>
      <c r="G24">
        <f t="shared" si="0"/>
        <v>267.97999999999996</v>
      </c>
      <c r="H24" s="37">
        <v>46287</v>
      </c>
      <c r="I24" t="s">
        <v>228</v>
      </c>
      <c r="J24" t="s">
        <v>90</v>
      </c>
      <c r="K24" t="s">
        <v>87</v>
      </c>
    </row>
    <row r="25" spans="1:11" x14ac:dyDescent="0.35">
      <c r="A25" t="s">
        <v>135</v>
      </c>
      <c r="B25" s="28" t="s">
        <v>136</v>
      </c>
      <c r="D25">
        <v>10</v>
      </c>
      <c r="F25">
        <v>0.58640000000000003</v>
      </c>
      <c r="G25">
        <f t="shared" si="0"/>
        <v>5.8640000000000008</v>
      </c>
      <c r="H25" s="37">
        <v>46287</v>
      </c>
      <c r="I25" t="s">
        <v>228</v>
      </c>
      <c r="J25" t="s">
        <v>90</v>
      </c>
      <c r="K25" t="s">
        <v>87</v>
      </c>
    </row>
    <row r="26" spans="1:11" x14ac:dyDescent="0.35">
      <c r="A26" t="s">
        <v>137</v>
      </c>
      <c r="B26" s="28" t="s">
        <v>138</v>
      </c>
      <c r="D26">
        <v>10</v>
      </c>
      <c r="F26">
        <v>0.99160000000000004</v>
      </c>
      <c r="G26">
        <f t="shared" si="0"/>
        <v>9.9160000000000004</v>
      </c>
      <c r="H26" s="37">
        <v>46287</v>
      </c>
      <c r="I26" t="s">
        <v>228</v>
      </c>
      <c r="J26" t="s">
        <v>90</v>
      </c>
      <c r="K26" t="s">
        <v>87</v>
      </c>
    </row>
    <row r="27" spans="1:11" x14ac:dyDescent="0.35">
      <c r="A27" t="s">
        <v>139</v>
      </c>
      <c r="B27" s="28" t="s">
        <v>140</v>
      </c>
      <c r="D27">
        <v>10</v>
      </c>
      <c r="F27">
        <v>0.96389999999999998</v>
      </c>
      <c r="G27">
        <f t="shared" si="0"/>
        <v>9.6389999999999993</v>
      </c>
      <c r="H27" s="37">
        <v>46287</v>
      </c>
      <c r="I27" t="s">
        <v>228</v>
      </c>
      <c r="J27" t="s">
        <v>90</v>
      </c>
      <c r="K27" t="s">
        <v>87</v>
      </c>
    </row>
    <row r="28" spans="1:11" x14ac:dyDescent="0.35">
      <c r="A28" t="s">
        <v>141</v>
      </c>
      <c r="B28" s="28" t="s">
        <v>142</v>
      </c>
      <c r="D28">
        <v>10</v>
      </c>
      <c r="F28">
        <v>10.52</v>
      </c>
      <c r="G28">
        <f t="shared" si="0"/>
        <v>105.19999999999999</v>
      </c>
      <c r="H28" s="37">
        <v>46287</v>
      </c>
      <c r="I28" t="s">
        <v>228</v>
      </c>
      <c r="J28" t="s">
        <v>90</v>
      </c>
      <c r="K28" t="s">
        <v>87</v>
      </c>
    </row>
    <row r="29" spans="1:11" x14ac:dyDescent="0.35">
      <c r="A29" t="s">
        <v>143</v>
      </c>
      <c r="B29" s="28" t="s">
        <v>144</v>
      </c>
      <c r="D29">
        <v>10</v>
      </c>
      <c r="F29">
        <v>0.32769999999999999</v>
      </c>
      <c r="G29">
        <f t="shared" si="0"/>
        <v>3.2770000000000001</v>
      </c>
      <c r="H29" s="37">
        <v>46287</v>
      </c>
      <c r="I29" t="s">
        <v>228</v>
      </c>
      <c r="J29" t="s">
        <v>90</v>
      </c>
      <c r="K29" t="s">
        <v>87</v>
      </c>
    </row>
    <row r="30" spans="1:11" x14ac:dyDescent="0.35">
      <c r="A30" t="s">
        <v>145</v>
      </c>
      <c r="B30" s="28" t="s">
        <v>146</v>
      </c>
      <c r="D30">
        <v>10</v>
      </c>
      <c r="F30">
        <v>0.45490000000000003</v>
      </c>
      <c r="G30">
        <f t="shared" si="0"/>
        <v>4.5490000000000004</v>
      </c>
      <c r="H30" s="37">
        <v>46287</v>
      </c>
      <c r="I30" t="s">
        <v>228</v>
      </c>
      <c r="J30" t="s">
        <v>90</v>
      </c>
      <c r="K30" t="s">
        <v>87</v>
      </c>
    </row>
    <row r="31" spans="1:11" x14ac:dyDescent="0.35">
      <c r="A31" t="s">
        <v>147</v>
      </c>
      <c r="B31" s="28" t="s">
        <v>148</v>
      </c>
      <c r="D31">
        <v>10</v>
      </c>
      <c r="F31">
        <v>0.44550000000000001</v>
      </c>
      <c r="G31">
        <f t="shared" si="0"/>
        <v>4.4550000000000001</v>
      </c>
      <c r="H31" s="37">
        <v>46287</v>
      </c>
      <c r="I31" t="s">
        <v>228</v>
      </c>
      <c r="J31" t="s">
        <v>90</v>
      </c>
      <c r="K31" t="s">
        <v>87</v>
      </c>
    </row>
    <row r="32" spans="1:11" x14ac:dyDescent="0.35">
      <c r="A32" t="s">
        <v>149</v>
      </c>
      <c r="B32" s="28" t="s">
        <v>150</v>
      </c>
      <c r="D32">
        <v>10</v>
      </c>
      <c r="F32">
        <v>1.0580000000000001</v>
      </c>
      <c r="G32">
        <f t="shared" si="0"/>
        <v>10.58</v>
      </c>
      <c r="H32" s="37">
        <v>46287</v>
      </c>
      <c r="I32" t="s">
        <v>228</v>
      </c>
      <c r="J32" t="s">
        <v>90</v>
      </c>
      <c r="K32" t="s">
        <v>87</v>
      </c>
    </row>
    <row r="33" spans="1:11" x14ac:dyDescent="0.35">
      <c r="A33" t="s">
        <v>151</v>
      </c>
      <c r="B33" s="28" t="s">
        <v>152</v>
      </c>
      <c r="D33">
        <v>1</v>
      </c>
      <c r="F33">
        <v>10117</v>
      </c>
      <c r="G33">
        <f t="shared" si="0"/>
        <v>10117</v>
      </c>
      <c r="H33" s="37">
        <v>46287</v>
      </c>
      <c r="I33" t="s">
        <v>228</v>
      </c>
      <c r="J33" t="s">
        <v>153</v>
      </c>
      <c r="K33" t="s">
        <v>154</v>
      </c>
    </row>
    <row r="34" spans="1:11" x14ac:dyDescent="0.35">
      <c r="A34" t="s">
        <v>155</v>
      </c>
      <c r="B34" s="28" t="s">
        <v>156</v>
      </c>
      <c r="D34">
        <v>50</v>
      </c>
      <c r="F34">
        <v>0.42</v>
      </c>
      <c r="G34">
        <f t="shared" si="0"/>
        <v>21</v>
      </c>
      <c r="H34" s="37">
        <v>46287</v>
      </c>
      <c r="I34" t="s">
        <v>228</v>
      </c>
      <c r="J34" t="s">
        <v>90</v>
      </c>
      <c r="K34" t="s">
        <v>87</v>
      </c>
    </row>
    <row r="35" spans="1:11" x14ac:dyDescent="0.35">
      <c r="A35" t="s">
        <v>157</v>
      </c>
      <c r="B35" s="28" t="s">
        <v>158</v>
      </c>
      <c r="D35">
        <v>20</v>
      </c>
      <c r="F35">
        <v>6.6</v>
      </c>
      <c r="G35">
        <f t="shared" si="0"/>
        <v>132</v>
      </c>
      <c r="H35" s="37">
        <v>46287</v>
      </c>
      <c r="I35" t="s">
        <v>228</v>
      </c>
      <c r="J35" t="s">
        <v>90</v>
      </c>
      <c r="K35" t="s">
        <v>87</v>
      </c>
    </row>
    <row r="36" spans="1:11" x14ac:dyDescent="0.35">
      <c r="A36" t="s">
        <v>159</v>
      </c>
      <c r="B36" s="28" t="s">
        <v>160</v>
      </c>
      <c r="D36">
        <v>20</v>
      </c>
      <c r="F36">
        <v>5.1479999999999997</v>
      </c>
      <c r="G36">
        <f t="shared" si="0"/>
        <v>102.96</v>
      </c>
      <c r="H36" s="37">
        <v>46287</v>
      </c>
      <c r="I36" t="s">
        <v>228</v>
      </c>
      <c r="J36" t="s">
        <v>90</v>
      </c>
      <c r="K36" t="s">
        <v>87</v>
      </c>
    </row>
    <row r="37" spans="1:11" x14ac:dyDescent="0.35">
      <c r="A37" t="s">
        <v>161</v>
      </c>
      <c r="B37" s="28" t="s">
        <v>162</v>
      </c>
      <c r="D37">
        <v>50</v>
      </c>
      <c r="F37">
        <v>0.48</v>
      </c>
      <c r="G37">
        <f t="shared" si="0"/>
        <v>24</v>
      </c>
      <c r="H37" s="37">
        <v>46287</v>
      </c>
      <c r="I37" t="s">
        <v>228</v>
      </c>
      <c r="J37" t="s">
        <v>163</v>
      </c>
      <c r="K37" t="s">
        <v>87</v>
      </c>
    </row>
    <row r="38" spans="1:11" x14ac:dyDescent="0.35">
      <c r="A38" t="s">
        <v>164</v>
      </c>
      <c r="B38" s="28" t="s">
        <v>165</v>
      </c>
      <c r="D38">
        <v>2</v>
      </c>
      <c r="F38">
        <v>818</v>
      </c>
      <c r="G38">
        <f t="shared" si="0"/>
        <v>1636</v>
      </c>
      <c r="H38" s="37">
        <v>46287</v>
      </c>
      <c r="I38" t="s">
        <v>228</v>
      </c>
      <c r="J38" t="s">
        <v>166</v>
      </c>
      <c r="K38" t="s">
        <v>167</v>
      </c>
    </row>
    <row r="39" spans="1:11" x14ac:dyDescent="0.35">
      <c r="A39" t="s">
        <v>168</v>
      </c>
      <c r="B39" s="28" t="s">
        <v>169</v>
      </c>
      <c r="D39">
        <v>20</v>
      </c>
      <c r="F39">
        <v>4.0107999999999997</v>
      </c>
      <c r="G39">
        <f t="shared" si="0"/>
        <v>80.215999999999994</v>
      </c>
      <c r="H39" s="37">
        <v>46287</v>
      </c>
      <c r="I39" t="s">
        <v>228</v>
      </c>
      <c r="J39" t="s">
        <v>90</v>
      </c>
      <c r="K39" t="s">
        <v>87</v>
      </c>
    </row>
    <row r="40" spans="1:11" x14ac:dyDescent="0.35">
      <c r="A40" t="s">
        <v>170</v>
      </c>
      <c r="B40" s="28" t="s">
        <v>171</v>
      </c>
      <c r="D40">
        <v>20</v>
      </c>
      <c r="F40">
        <v>1.3725000000000001</v>
      </c>
      <c r="G40">
        <f t="shared" si="0"/>
        <v>27.450000000000003</v>
      </c>
      <c r="H40" s="37">
        <v>46287</v>
      </c>
      <c r="I40" t="s">
        <v>228</v>
      </c>
      <c r="J40" t="s">
        <v>90</v>
      </c>
      <c r="K40" t="s">
        <v>87</v>
      </c>
    </row>
    <row r="41" spans="1:11" x14ac:dyDescent="0.35">
      <c r="A41" t="s">
        <v>172</v>
      </c>
      <c r="B41" s="28" t="s">
        <v>173</v>
      </c>
      <c r="D41">
        <v>100</v>
      </c>
      <c r="F41">
        <v>1.1681999999999999</v>
      </c>
      <c r="G41">
        <f t="shared" si="0"/>
        <v>116.82</v>
      </c>
      <c r="H41" s="37">
        <v>46287</v>
      </c>
      <c r="I41" t="s">
        <v>228</v>
      </c>
      <c r="J41" t="s">
        <v>90</v>
      </c>
      <c r="K41" t="s">
        <v>87</v>
      </c>
    </row>
    <row r="42" spans="1:11" x14ac:dyDescent="0.35">
      <c r="A42" t="s">
        <v>174</v>
      </c>
      <c r="B42" s="28" t="s">
        <v>175</v>
      </c>
      <c r="D42">
        <v>50</v>
      </c>
      <c r="F42">
        <v>0.91759999999999997</v>
      </c>
      <c r="G42">
        <f t="shared" si="0"/>
        <v>45.879999999999995</v>
      </c>
      <c r="H42" s="37">
        <v>46287</v>
      </c>
      <c r="I42" t="s">
        <v>228</v>
      </c>
      <c r="J42" t="s">
        <v>90</v>
      </c>
      <c r="K42" t="s">
        <v>87</v>
      </c>
    </row>
    <row r="43" spans="1:11" x14ac:dyDescent="0.35">
      <c r="A43" t="s">
        <v>176</v>
      </c>
      <c r="B43" s="28" t="s">
        <v>177</v>
      </c>
      <c r="D43">
        <v>20</v>
      </c>
      <c r="F43">
        <v>3.6960000000000002</v>
      </c>
      <c r="G43">
        <f t="shared" si="0"/>
        <v>73.92</v>
      </c>
      <c r="H43" s="37">
        <v>46287</v>
      </c>
      <c r="I43" t="s">
        <v>228</v>
      </c>
      <c r="J43" t="s">
        <v>90</v>
      </c>
      <c r="K43" t="s">
        <v>87</v>
      </c>
    </row>
    <row r="44" spans="1:11" x14ac:dyDescent="0.35">
      <c r="A44" t="s">
        <v>178</v>
      </c>
      <c r="B44" s="28" t="s">
        <v>179</v>
      </c>
      <c r="D44">
        <v>50</v>
      </c>
      <c r="F44">
        <v>1.38</v>
      </c>
      <c r="G44">
        <f t="shared" si="0"/>
        <v>69</v>
      </c>
      <c r="H44" s="37">
        <v>46287</v>
      </c>
      <c r="I44" t="s">
        <v>228</v>
      </c>
      <c r="J44" t="s">
        <v>86</v>
      </c>
      <c r="K44" t="s">
        <v>87</v>
      </c>
    </row>
    <row r="45" spans="1:11" x14ac:dyDescent="0.35">
      <c r="A45" t="s">
        <v>180</v>
      </c>
      <c r="B45" s="28" t="s">
        <v>181</v>
      </c>
      <c r="D45">
        <v>20</v>
      </c>
      <c r="F45">
        <v>2.1240000000000001</v>
      </c>
      <c r="G45">
        <f t="shared" si="0"/>
        <v>42.480000000000004</v>
      </c>
      <c r="H45" s="37">
        <v>46287</v>
      </c>
      <c r="I45" t="s">
        <v>228</v>
      </c>
      <c r="J45" t="s">
        <v>119</v>
      </c>
      <c r="K45" t="s">
        <v>87</v>
      </c>
    </row>
    <row r="46" spans="1:11" x14ac:dyDescent="0.35">
      <c r="A46" t="s">
        <v>182</v>
      </c>
      <c r="B46" s="28" t="s">
        <v>183</v>
      </c>
      <c r="D46">
        <v>10</v>
      </c>
      <c r="F46">
        <v>4.3</v>
      </c>
      <c r="G46">
        <f t="shared" si="0"/>
        <v>43</v>
      </c>
      <c r="H46" s="37">
        <v>46287</v>
      </c>
      <c r="I46" t="s">
        <v>228</v>
      </c>
      <c r="J46" t="s">
        <v>184</v>
      </c>
      <c r="K46" t="s">
        <v>185</v>
      </c>
    </row>
    <row r="47" spans="1:11" x14ac:dyDescent="0.35">
      <c r="A47" t="s">
        <v>186</v>
      </c>
      <c r="B47" s="28" t="s">
        <v>187</v>
      </c>
      <c r="D47">
        <v>10</v>
      </c>
      <c r="F47">
        <v>0.73780000000000001</v>
      </c>
      <c r="G47">
        <f t="shared" si="0"/>
        <v>7.3780000000000001</v>
      </c>
      <c r="H47" s="37">
        <v>46287</v>
      </c>
      <c r="I47" t="s">
        <v>228</v>
      </c>
      <c r="J47" t="s">
        <v>90</v>
      </c>
      <c r="K47" t="s">
        <v>87</v>
      </c>
    </row>
    <row r="48" spans="1:11" x14ac:dyDescent="0.35">
      <c r="A48" t="s">
        <v>188</v>
      </c>
      <c r="B48" s="28" t="s">
        <v>189</v>
      </c>
      <c r="D48">
        <v>10</v>
      </c>
      <c r="F48">
        <v>0.70799999999999996</v>
      </c>
      <c r="G48">
        <f t="shared" si="0"/>
        <v>7.08</v>
      </c>
      <c r="H48" s="37">
        <v>46287</v>
      </c>
      <c r="I48" t="s">
        <v>228</v>
      </c>
      <c r="J48" t="s">
        <v>90</v>
      </c>
      <c r="K48" t="s">
        <v>87</v>
      </c>
    </row>
    <row r="49" spans="1:12" x14ac:dyDescent="0.35">
      <c r="A49" t="s">
        <v>190</v>
      </c>
      <c r="B49" s="28" t="s">
        <v>191</v>
      </c>
      <c r="D49">
        <v>10</v>
      </c>
      <c r="F49">
        <v>0.34499999999999997</v>
      </c>
      <c r="G49">
        <f t="shared" si="0"/>
        <v>3.4499999999999997</v>
      </c>
      <c r="H49" s="37">
        <v>46287</v>
      </c>
      <c r="I49" t="s">
        <v>228</v>
      </c>
      <c r="J49" t="s">
        <v>90</v>
      </c>
      <c r="K49" t="s">
        <v>87</v>
      </c>
    </row>
    <row r="50" spans="1:12" x14ac:dyDescent="0.35">
      <c r="A50" t="s">
        <v>192</v>
      </c>
      <c r="B50" s="28" t="s">
        <v>193</v>
      </c>
      <c r="D50">
        <v>50</v>
      </c>
      <c r="F50">
        <v>0.48</v>
      </c>
      <c r="G50">
        <f t="shared" si="0"/>
        <v>24</v>
      </c>
      <c r="H50" s="37">
        <v>46287</v>
      </c>
      <c r="I50" t="s">
        <v>228</v>
      </c>
      <c r="J50" t="s">
        <v>90</v>
      </c>
      <c r="K50" t="s">
        <v>87</v>
      </c>
    </row>
    <row r="51" spans="1:12" x14ac:dyDescent="0.35">
      <c r="A51" t="s">
        <v>194</v>
      </c>
      <c r="B51" s="28" t="s">
        <v>195</v>
      </c>
      <c r="D51">
        <v>50</v>
      </c>
      <c r="F51">
        <v>0.61380000000000001</v>
      </c>
      <c r="G51">
        <f t="shared" si="0"/>
        <v>30.69</v>
      </c>
      <c r="H51" s="37">
        <v>46287</v>
      </c>
      <c r="I51" t="s">
        <v>228</v>
      </c>
      <c r="J51" t="s">
        <v>90</v>
      </c>
      <c r="K51" t="s">
        <v>87</v>
      </c>
    </row>
    <row r="52" spans="1:12" x14ac:dyDescent="0.35">
      <c r="A52" t="s">
        <v>196</v>
      </c>
      <c r="B52" s="28" t="s">
        <v>197</v>
      </c>
      <c r="D52">
        <v>4</v>
      </c>
      <c r="F52">
        <v>330</v>
      </c>
      <c r="G52">
        <f t="shared" si="0"/>
        <v>1320</v>
      </c>
      <c r="H52" s="37">
        <v>46287</v>
      </c>
      <c r="I52" t="s">
        <v>228</v>
      </c>
      <c r="J52" t="s">
        <v>198</v>
      </c>
      <c r="K52" t="s">
        <v>199</v>
      </c>
      <c r="L52" t="s">
        <v>200</v>
      </c>
    </row>
    <row r="53" spans="1:12" x14ac:dyDescent="0.35">
      <c r="A53" t="s">
        <v>201</v>
      </c>
      <c r="B53" s="28" t="s">
        <v>202</v>
      </c>
      <c r="D53">
        <v>10</v>
      </c>
      <c r="F53">
        <v>0.73780000000000001</v>
      </c>
      <c r="G53">
        <f t="shared" si="0"/>
        <v>7.3780000000000001</v>
      </c>
      <c r="H53" s="37">
        <v>46287</v>
      </c>
      <c r="I53" t="s">
        <v>228</v>
      </c>
      <c r="J53" t="s">
        <v>90</v>
      </c>
      <c r="K53" t="s">
        <v>87</v>
      </c>
    </row>
    <row r="54" spans="1:12" x14ac:dyDescent="0.35">
      <c r="A54" t="s">
        <v>203</v>
      </c>
      <c r="B54" s="28" t="s">
        <v>204</v>
      </c>
      <c r="D54">
        <v>100</v>
      </c>
      <c r="F54">
        <v>1.5327999999999999</v>
      </c>
      <c r="G54">
        <f t="shared" si="0"/>
        <v>153.28</v>
      </c>
      <c r="H54" s="37">
        <v>46287</v>
      </c>
      <c r="I54" t="s">
        <v>228</v>
      </c>
      <c r="J54" t="s">
        <v>90</v>
      </c>
      <c r="K54" t="s">
        <v>87</v>
      </c>
    </row>
    <row r="55" spans="1:12" x14ac:dyDescent="0.35">
      <c r="A55" t="s">
        <v>205</v>
      </c>
      <c r="B55" s="28" t="s">
        <v>206</v>
      </c>
      <c r="D55">
        <v>20</v>
      </c>
      <c r="F55">
        <v>2.8134000000000001</v>
      </c>
      <c r="G55">
        <f t="shared" si="0"/>
        <v>56.268000000000001</v>
      </c>
      <c r="H55" s="37">
        <v>46287</v>
      </c>
      <c r="I55" t="s">
        <v>228</v>
      </c>
      <c r="J55" t="s">
        <v>90</v>
      </c>
      <c r="K55" t="s">
        <v>87</v>
      </c>
    </row>
    <row r="56" spans="1:12" x14ac:dyDescent="0.35">
      <c r="A56" t="s">
        <v>207</v>
      </c>
      <c r="B56" s="28" t="s">
        <v>208</v>
      </c>
      <c r="D56">
        <v>10</v>
      </c>
      <c r="F56">
        <v>0.31319999999999998</v>
      </c>
      <c r="G56">
        <f t="shared" si="0"/>
        <v>3.1319999999999997</v>
      </c>
      <c r="H56" s="37">
        <v>46287</v>
      </c>
      <c r="I56" t="s">
        <v>228</v>
      </c>
      <c r="J56" t="s">
        <v>90</v>
      </c>
      <c r="K56" t="s">
        <v>87</v>
      </c>
    </row>
    <row r="57" spans="1:12" x14ac:dyDescent="0.35">
      <c r="A57" t="s">
        <v>209</v>
      </c>
      <c r="B57" s="28" t="s">
        <v>210</v>
      </c>
      <c r="D57">
        <v>1</v>
      </c>
      <c r="F57">
        <v>1205</v>
      </c>
      <c r="G57">
        <f t="shared" si="0"/>
        <v>1205</v>
      </c>
      <c r="H57" s="37">
        <v>46287</v>
      </c>
      <c r="I57" t="s">
        <v>228</v>
      </c>
      <c r="J57" t="s">
        <v>211</v>
      </c>
      <c r="K57" t="s">
        <v>212</v>
      </c>
    </row>
    <row r="58" spans="1:12" x14ac:dyDescent="0.35">
      <c r="A58" t="s">
        <v>213</v>
      </c>
      <c r="B58" t="s">
        <v>214</v>
      </c>
      <c r="D58">
        <v>2</v>
      </c>
      <c r="F58">
        <v>80</v>
      </c>
      <c r="G58">
        <f t="shared" si="0"/>
        <v>160</v>
      </c>
      <c r="H58" s="37">
        <v>46287</v>
      </c>
      <c r="I58" t="s">
        <v>228</v>
      </c>
      <c r="J58" t="s">
        <v>215</v>
      </c>
      <c r="K58" t="s">
        <v>216</v>
      </c>
    </row>
    <row r="59" spans="1:12" x14ac:dyDescent="0.35">
      <c r="A59" t="s">
        <v>217</v>
      </c>
      <c r="B59" t="s">
        <v>218</v>
      </c>
      <c r="D59">
        <v>2</v>
      </c>
      <c r="F59">
        <v>91</v>
      </c>
      <c r="G59">
        <f t="shared" si="0"/>
        <v>182</v>
      </c>
      <c r="H59" s="37">
        <v>46287</v>
      </c>
      <c r="I59" t="s">
        <v>228</v>
      </c>
      <c r="J59" t="s">
        <v>215</v>
      </c>
      <c r="K59" t="s">
        <v>216</v>
      </c>
    </row>
    <row r="60" spans="1:12" x14ac:dyDescent="0.35">
      <c r="A60" t="s">
        <v>219</v>
      </c>
      <c r="B60" t="s">
        <v>220</v>
      </c>
      <c r="D60">
        <v>2</v>
      </c>
      <c r="F60">
        <v>45</v>
      </c>
      <c r="G60">
        <f t="shared" si="0"/>
        <v>90</v>
      </c>
      <c r="H60" s="37">
        <v>46287</v>
      </c>
      <c r="I60" t="s">
        <v>228</v>
      </c>
      <c r="J60" t="s">
        <v>221</v>
      </c>
      <c r="K60" t="s">
        <v>216</v>
      </c>
    </row>
    <row r="61" spans="1:12" x14ac:dyDescent="0.35">
      <c r="A61" t="s">
        <v>222</v>
      </c>
      <c r="B61" t="s">
        <v>223</v>
      </c>
      <c r="D61">
        <v>2</v>
      </c>
      <c r="F61">
        <v>41</v>
      </c>
      <c r="G61">
        <f t="shared" si="0"/>
        <v>82</v>
      </c>
      <c r="H61" s="37">
        <v>46287</v>
      </c>
      <c r="I61" t="s">
        <v>228</v>
      </c>
      <c r="J61" t="s">
        <v>221</v>
      </c>
      <c r="K61" t="s">
        <v>216</v>
      </c>
    </row>
    <row r="62" spans="1:12" x14ac:dyDescent="0.35">
      <c r="A62" t="s">
        <v>224</v>
      </c>
      <c r="B62" t="s">
        <v>225</v>
      </c>
      <c r="D62">
        <v>2</v>
      </c>
      <c r="F62">
        <v>100</v>
      </c>
      <c r="G62">
        <f t="shared" si="0"/>
        <v>200</v>
      </c>
      <c r="H62" s="37">
        <v>46287</v>
      </c>
      <c r="I62" t="s">
        <v>228</v>
      </c>
      <c r="J62" t="s">
        <v>221</v>
      </c>
      <c r="K62" t="s">
        <v>216</v>
      </c>
    </row>
    <row r="63" spans="1:12" x14ac:dyDescent="0.35">
      <c r="A63" t="s">
        <v>226</v>
      </c>
      <c r="B63" t="s">
        <v>227</v>
      </c>
      <c r="D63">
        <v>2</v>
      </c>
      <c r="F63">
        <v>150</v>
      </c>
      <c r="G63">
        <f t="shared" si="0"/>
        <v>300</v>
      </c>
      <c r="H63" s="37">
        <v>46287</v>
      </c>
      <c r="I63" t="s">
        <v>228</v>
      </c>
      <c r="J63" t="s">
        <v>221</v>
      </c>
      <c r="K63" t="s">
        <v>216</v>
      </c>
    </row>
  </sheetData>
  <autoFilter ref="A1:J1" xr:uid="{00000000-0001-0000-0200-000000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sqref="A1:J1"/>
    </sheetView>
  </sheetViews>
  <sheetFormatPr defaultColWidth="8.7265625" defaultRowHeight="14.5" x14ac:dyDescent="0.35"/>
  <cols>
    <col min="1" max="1" width="15.90625" bestFit="1" customWidth="1"/>
    <col min="2" max="2" width="12.90625" bestFit="1" customWidth="1"/>
    <col min="3" max="3" width="8.26953125" bestFit="1" customWidth="1"/>
    <col min="4" max="4" width="8.1796875" bestFit="1" customWidth="1"/>
    <col min="5" max="5" width="4.36328125" bestFit="1" customWidth="1"/>
    <col min="6" max="6" width="11.6328125" bestFit="1" customWidth="1"/>
    <col min="7" max="7" width="13.08984375" bestFit="1" customWidth="1"/>
    <col min="8" max="8" width="4.81640625" bestFit="1" customWidth="1"/>
    <col min="9" max="9" width="6.08984375" bestFit="1" customWidth="1"/>
    <col min="10" max="10" width="5.7265625" bestFit="1" customWidth="1"/>
  </cols>
  <sheetData>
    <row r="1" spans="1:10" ht="35.15" customHeight="1" x14ac:dyDescent="0.35">
      <c r="A1" s="29" t="s">
        <v>37</v>
      </c>
      <c r="B1" s="30"/>
      <c r="C1" s="30"/>
      <c r="D1" s="30"/>
      <c r="E1" s="30"/>
      <c r="F1" s="30"/>
      <c r="G1" s="30"/>
      <c r="H1" s="30"/>
      <c r="I1" s="30"/>
      <c r="J1" s="30"/>
    </row>
    <row r="3" spans="1:10" ht="15.5" x14ac:dyDescent="0.35">
      <c r="A3" s="24" t="s">
        <v>38</v>
      </c>
    </row>
    <row r="4" spans="1:10" x14ac:dyDescent="0.35">
      <c r="A4" s="25" t="s">
        <v>83</v>
      </c>
      <c r="B4" s="23"/>
    </row>
    <row r="5" spans="1:10" x14ac:dyDescent="0.35">
      <c r="A5" s="25" t="s">
        <v>39</v>
      </c>
      <c r="B5" s="23"/>
    </row>
    <row r="6" spans="1:10" x14ac:dyDescent="0.35">
      <c r="A6" s="25" t="s">
        <v>40</v>
      </c>
      <c r="B6" s="23" t="s">
        <v>41</v>
      </c>
    </row>
    <row r="8" spans="1:10" x14ac:dyDescent="0.35">
      <c r="A8" s="1" t="s">
        <v>28</v>
      </c>
      <c r="B8" s="1" t="s">
        <v>29</v>
      </c>
      <c r="C8" s="1" t="s">
        <v>11</v>
      </c>
      <c r="D8" s="1" t="s">
        <v>30</v>
      </c>
      <c r="E8" s="1" t="s">
        <v>31</v>
      </c>
      <c r="F8" s="1" t="s">
        <v>32</v>
      </c>
      <c r="G8" s="1" t="s">
        <v>33</v>
      </c>
      <c r="H8" s="1" t="s">
        <v>34</v>
      </c>
      <c r="I8" s="1" t="s">
        <v>35</v>
      </c>
      <c r="J8" s="1" t="s">
        <v>36</v>
      </c>
    </row>
  </sheetData>
  <mergeCells count="1">
    <mergeCell ref="A1:J1"/>
  </mergeCells>
  <dataValidations count="1">
    <dataValidation type="list" allowBlank="1" sqref="B6" xr:uid="{00000000-0002-0000-0300-000000000000}">
      <formula1>"All,Inbound,Outbound"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archRecords">
                <anchor moveWithCells="1" sizeWithCells="1">
                  <from>
                    <xdr:col>3</xdr:col>
                    <xdr:colOff>412750</xdr:colOff>
                    <xdr:row>1</xdr:row>
                    <xdr:rowOff>63500</xdr:rowOff>
                  </from>
                  <to>
                    <xdr:col>5</xdr:col>
                    <xdr:colOff>679450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archRecords">
                <anchor moveWithCells="1" sizeWithCells="1">
                  <from>
                    <xdr:col>3</xdr:col>
                    <xdr:colOff>412750</xdr:colOff>
                    <xdr:row>1</xdr:row>
                    <xdr:rowOff>63500</xdr:rowOff>
                  </from>
                  <to>
                    <xdr:col>5</xdr:col>
                    <xdr:colOff>679450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SearchResults">
                <anchor moveWithCells="1" sizeWithCells="1">
                  <from>
                    <xdr:col>3</xdr:col>
                    <xdr:colOff>419100</xdr:colOff>
                    <xdr:row>4</xdr:row>
                    <xdr:rowOff>50800</xdr:rowOff>
                  </from>
                  <to>
                    <xdr:col>5</xdr:col>
                    <xdr:colOff>685800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367"/>
  <sheetViews>
    <sheetView topLeftCell="A31" workbookViewId="0">
      <selection sqref="A1:B1"/>
    </sheetView>
  </sheetViews>
  <sheetFormatPr defaultColWidth="8.7265625" defaultRowHeight="14.5" x14ac:dyDescent="0.35"/>
  <cols>
    <col min="1" max="1" width="100" style="2" customWidth="1"/>
    <col min="2" max="16384" width="8.7265625" style="2"/>
  </cols>
  <sheetData>
    <row r="1" spans="1:2" ht="35.15" customHeight="1" x14ac:dyDescent="0.35">
      <c r="A1" s="35" t="s">
        <v>42</v>
      </c>
      <c r="B1" s="32"/>
    </row>
    <row r="2" spans="1:2" x14ac:dyDescent="0.35">
      <c r="A2" s="19"/>
    </row>
    <row r="3" spans="1:2" x14ac:dyDescent="0.35">
      <c r="A3" s="18" t="s">
        <v>43</v>
      </c>
    </row>
    <row r="4" spans="1:2" x14ac:dyDescent="0.35">
      <c r="A4" s="18" t="s">
        <v>44</v>
      </c>
    </row>
    <row r="5" spans="1:2" x14ac:dyDescent="0.35">
      <c r="A5" s="19" t="s">
        <v>45</v>
      </c>
    </row>
    <row r="6" spans="1:2" x14ac:dyDescent="0.35">
      <c r="A6" s="19" t="s">
        <v>46</v>
      </c>
    </row>
    <row r="7" spans="1:2" x14ac:dyDescent="0.35">
      <c r="A7" s="19" t="s">
        <v>47</v>
      </c>
    </row>
    <row r="8" spans="1:2" x14ac:dyDescent="0.35">
      <c r="A8" s="19" t="s">
        <v>48</v>
      </c>
    </row>
    <row r="9" spans="1:2" x14ac:dyDescent="0.35">
      <c r="A9" s="19" t="s">
        <v>49</v>
      </c>
    </row>
    <row r="10" spans="1:2" x14ac:dyDescent="0.35">
      <c r="A10" s="19"/>
    </row>
    <row r="11" spans="1:2" x14ac:dyDescent="0.35">
      <c r="A11" s="18" t="s">
        <v>50</v>
      </c>
    </row>
    <row r="12" spans="1:2" x14ac:dyDescent="0.35">
      <c r="A12" s="18" t="s">
        <v>51</v>
      </c>
    </row>
    <row r="13" spans="1:2" x14ac:dyDescent="0.35">
      <c r="A13" s="18" t="s">
        <v>52</v>
      </c>
    </row>
    <row r="14" spans="1:2" x14ac:dyDescent="0.35">
      <c r="A14" s="18" t="s">
        <v>53</v>
      </c>
    </row>
    <row r="15" spans="1:2" x14ac:dyDescent="0.35">
      <c r="A15" s="18" t="s">
        <v>54</v>
      </c>
    </row>
    <row r="16" spans="1:2" x14ac:dyDescent="0.35">
      <c r="A16" s="19"/>
    </row>
    <row r="17" spans="1:1" x14ac:dyDescent="0.35">
      <c r="A17" s="18" t="s">
        <v>55</v>
      </c>
    </row>
    <row r="18" spans="1:1" x14ac:dyDescent="0.35">
      <c r="A18" s="18" t="s">
        <v>56</v>
      </c>
    </row>
    <row r="19" spans="1:1" x14ac:dyDescent="0.35">
      <c r="A19" s="18" t="s">
        <v>57</v>
      </c>
    </row>
    <row r="20" spans="1:1" x14ac:dyDescent="0.35">
      <c r="A20" s="18" t="s">
        <v>58</v>
      </c>
    </row>
    <row r="21" spans="1:1" x14ac:dyDescent="0.35">
      <c r="A21" s="18" t="s">
        <v>59</v>
      </c>
    </row>
    <row r="22" spans="1:1" x14ac:dyDescent="0.35">
      <c r="A22" s="18" t="s">
        <v>60</v>
      </c>
    </row>
    <row r="23" spans="1:1" x14ac:dyDescent="0.35">
      <c r="A23" s="18" t="s">
        <v>61</v>
      </c>
    </row>
    <row r="24" spans="1:1" x14ac:dyDescent="0.35">
      <c r="A24" s="18" t="s">
        <v>62</v>
      </c>
    </row>
    <row r="25" spans="1:1" x14ac:dyDescent="0.35">
      <c r="A25" s="19"/>
    </row>
    <row r="26" spans="1:1" x14ac:dyDescent="0.35">
      <c r="A26" s="18" t="s">
        <v>63</v>
      </c>
    </row>
    <row r="27" spans="1:1" x14ac:dyDescent="0.35">
      <c r="A27" s="18" t="s">
        <v>64</v>
      </c>
    </row>
    <row r="28" spans="1:1" x14ac:dyDescent="0.35">
      <c r="A28" s="19" t="s">
        <v>65</v>
      </c>
    </row>
    <row r="29" spans="1:1" x14ac:dyDescent="0.35">
      <c r="A29" s="19" t="s">
        <v>66</v>
      </c>
    </row>
    <row r="30" spans="1:1" x14ac:dyDescent="0.35">
      <c r="A30" s="19" t="s">
        <v>67</v>
      </c>
    </row>
    <row r="31" spans="1:1" x14ac:dyDescent="0.35">
      <c r="A31" s="19"/>
    </row>
    <row r="32" spans="1:1" x14ac:dyDescent="0.35">
      <c r="A32" s="18" t="s">
        <v>68</v>
      </c>
    </row>
    <row r="33" spans="1:1" x14ac:dyDescent="0.35">
      <c r="A33" s="19" t="s">
        <v>69</v>
      </c>
    </row>
    <row r="34" spans="1:1" x14ac:dyDescent="0.35">
      <c r="A34" s="19" t="s">
        <v>70</v>
      </c>
    </row>
    <row r="35" spans="1:1" x14ac:dyDescent="0.35">
      <c r="A35" s="19" t="s">
        <v>71</v>
      </c>
    </row>
    <row r="36" spans="1:1" x14ac:dyDescent="0.35">
      <c r="A36" s="19" t="s">
        <v>72</v>
      </c>
    </row>
    <row r="37" spans="1:1" x14ac:dyDescent="0.35">
      <c r="A37" s="19"/>
    </row>
    <row r="38" spans="1:1" x14ac:dyDescent="0.35">
      <c r="A38" s="18" t="s">
        <v>73</v>
      </c>
    </row>
    <row r="39" spans="1:1" x14ac:dyDescent="0.35">
      <c r="A39" s="19" t="s">
        <v>74</v>
      </c>
    </row>
    <row r="40" spans="1:1" x14ac:dyDescent="0.35">
      <c r="A40" s="19" t="s">
        <v>75</v>
      </c>
    </row>
    <row r="41" spans="1:1" x14ac:dyDescent="0.35">
      <c r="A41" s="19" t="s">
        <v>76</v>
      </c>
    </row>
    <row r="42" spans="1:1" x14ac:dyDescent="0.35">
      <c r="A42" s="19"/>
    </row>
    <row r="43" spans="1:1" x14ac:dyDescent="0.35">
      <c r="A43" s="18" t="s">
        <v>77</v>
      </c>
    </row>
    <row r="44" spans="1:1" x14ac:dyDescent="0.35">
      <c r="A44" s="19" t="s">
        <v>78</v>
      </c>
    </row>
    <row r="45" spans="1:1" x14ac:dyDescent="0.35">
      <c r="A45" s="19" t="s">
        <v>79</v>
      </c>
    </row>
    <row r="47" spans="1:1" x14ac:dyDescent="0.35">
      <c r="A47" s="26"/>
    </row>
    <row r="48" spans="1:1" x14ac:dyDescent="0.35">
      <c r="A48" s="27"/>
    </row>
    <row r="49" spans="1:1" x14ac:dyDescent="0.35">
      <c r="A49" s="27"/>
    </row>
    <row r="50" spans="1:1" x14ac:dyDescent="0.35">
      <c r="A50" s="27"/>
    </row>
    <row r="51" spans="1:1" x14ac:dyDescent="0.35">
      <c r="A51" s="27"/>
    </row>
    <row r="52" spans="1:1" x14ac:dyDescent="0.35">
      <c r="A52" s="27"/>
    </row>
    <row r="53" spans="1:1" x14ac:dyDescent="0.35">
      <c r="A53" s="27"/>
    </row>
    <row r="54" spans="1:1" x14ac:dyDescent="0.35">
      <c r="A54" s="27"/>
    </row>
    <row r="55" spans="1:1" x14ac:dyDescent="0.35">
      <c r="A55" s="27"/>
    </row>
    <row r="56" spans="1:1" x14ac:dyDescent="0.35">
      <c r="A56" s="27"/>
    </row>
    <row r="57" spans="1:1" x14ac:dyDescent="0.35">
      <c r="A57" s="27"/>
    </row>
    <row r="58" spans="1:1" x14ac:dyDescent="0.35">
      <c r="A58" s="27"/>
    </row>
    <row r="59" spans="1:1" x14ac:dyDescent="0.35">
      <c r="A59" s="27"/>
    </row>
    <row r="60" spans="1:1" x14ac:dyDescent="0.35">
      <c r="A60" s="27"/>
    </row>
    <row r="61" spans="1:1" x14ac:dyDescent="0.35">
      <c r="A61" s="27"/>
    </row>
    <row r="62" spans="1:1" x14ac:dyDescent="0.35">
      <c r="A62" s="27"/>
    </row>
    <row r="63" spans="1:1" x14ac:dyDescent="0.35">
      <c r="A63" s="27"/>
    </row>
    <row r="64" spans="1:1" x14ac:dyDescent="0.35">
      <c r="A64" s="27"/>
    </row>
    <row r="65" spans="1:1" x14ac:dyDescent="0.35">
      <c r="A65" s="27"/>
    </row>
    <row r="66" spans="1:1" x14ac:dyDescent="0.35">
      <c r="A66" s="27"/>
    </row>
    <row r="67" spans="1:1" x14ac:dyDescent="0.35">
      <c r="A67" s="27"/>
    </row>
    <row r="68" spans="1:1" x14ac:dyDescent="0.35">
      <c r="A68" s="27"/>
    </row>
    <row r="69" spans="1:1" x14ac:dyDescent="0.35">
      <c r="A69" s="27"/>
    </row>
    <row r="70" spans="1:1" x14ac:dyDescent="0.35">
      <c r="A70" s="27"/>
    </row>
    <row r="71" spans="1:1" x14ac:dyDescent="0.35">
      <c r="A71" s="27"/>
    </row>
    <row r="72" spans="1:1" x14ac:dyDescent="0.35">
      <c r="A72" s="27"/>
    </row>
    <row r="73" spans="1:1" x14ac:dyDescent="0.35">
      <c r="A73" s="27"/>
    </row>
    <row r="74" spans="1:1" x14ac:dyDescent="0.35">
      <c r="A74" s="27"/>
    </row>
    <row r="75" spans="1:1" x14ac:dyDescent="0.35">
      <c r="A75" s="27"/>
    </row>
    <row r="76" spans="1:1" x14ac:dyDescent="0.35">
      <c r="A76" s="27"/>
    </row>
    <row r="77" spans="1:1" x14ac:dyDescent="0.35">
      <c r="A77" s="27"/>
    </row>
    <row r="78" spans="1:1" x14ac:dyDescent="0.35">
      <c r="A78" s="27"/>
    </row>
    <row r="79" spans="1:1" x14ac:dyDescent="0.35">
      <c r="A79" s="27"/>
    </row>
    <row r="80" spans="1:1" x14ac:dyDescent="0.35">
      <c r="A80" s="27"/>
    </row>
    <row r="81" spans="1:1" x14ac:dyDescent="0.35">
      <c r="A81" s="27"/>
    </row>
    <row r="82" spans="1:1" x14ac:dyDescent="0.35">
      <c r="A82" s="27"/>
    </row>
    <row r="83" spans="1:1" x14ac:dyDescent="0.35">
      <c r="A83" s="27"/>
    </row>
    <row r="84" spans="1:1" x14ac:dyDescent="0.35">
      <c r="A84" s="27"/>
    </row>
    <row r="85" spans="1:1" x14ac:dyDescent="0.35">
      <c r="A85" s="27"/>
    </row>
    <row r="86" spans="1:1" x14ac:dyDescent="0.35">
      <c r="A86" s="27"/>
    </row>
    <row r="87" spans="1:1" x14ac:dyDescent="0.35">
      <c r="A87" s="27"/>
    </row>
    <row r="88" spans="1:1" x14ac:dyDescent="0.35">
      <c r="A88" s="27"/>
    </row>
    <row r="89" spans="1:1" x14ac:dyDescent="0.35">
      <c r="A89" s="27"/>
    </row>
    <row r="90" spans="1:1" x14ac:dyDescent="0.35">
      <c r="A90" s="27"/>
    </row>
    <row r="91" spans="1:1" x14ac:dyDescent="0.35">
      <c r="A91" s="27"/>
    </row>
    <row r="92" spans="1:1" x14ac:dyDescent="0.35">
      <c r="A92" s="27"/>
    </row>
    <row r="93" spans="1:1" x14ac:dyDescent="0.35">
      <c r="A93" s="27"/>
    </row>
    <row r="94" spans="1:1" x14ac:dyDescent="0.35">
      <c r="A94" s="27"/>
    </row>
    <row r="95" spans="1:1" x14ac:dyDescent="0.35">
      <c r="A95" s="27"/>
    </row>
    <row r="96" spans="1:1" x14ac:dyDescent="0.35">
      <c r="A96" s="27"/>
    </row>
    <row r="97" spans="1:1" x14ac:dyDescent="0.35">
      <c r="A97" s="27"/>
    </row>
    <row r="98" spans="1:1" x14ac:dyDescent="0.35">
      <c r="A98" s="27"/>
    </row>
    <row r="99" spans="1:1" x14ac:dyDescent="0.35">
      <c r="A99" s="27"/>
    </row>
    <row r="100" spans="1:1" x14ac:dyDescent="0.35">
      <c r="A100" s="27"/>
    </row>
    <row r="101" spans="1:1" x14ac:dyDescent="0.35">
      <c r="A101" s="27"/>
    </row>
    <row r="102" spans="1:1" x14ac:dyDescent="0.35">
      <c r="A102" s="27"/>
    </row>
    <row r="103" spans="1:1" x14ac:dyDescent="0.35">
      <c r="A103" s="27"/>
    </row>
    <row r="104" spans="1:1" x14ac:dyDescent="0.35">
      <c r="A104" s="27"/>
    </row>
    <row r="105" spans="1:1" x14ac:dyDescent="0.35">
      <c r="A105" s="27"/>
    </row>
    <row r="106" spans="1:1" x14ac:dyDescent="0.35">
      <c r="A106" s="27"/>
    </row>
    <row r="107" spans="1:1" x14ac:dyDescent="0.35">
      <c r="A107" s="27"/>
    </row>
    <row r="108" spans="1:1" x14ac:dyDescent="0.35">
      <c r="A108" s="27"/>
    </row>
    <row r="109" spans="1:1" x14ac:dyDescent="0.35">
      <c r="A109" s="27"/>
    </row>
    <row r="110" spans="1:1" x14ac:dyDescent="0.35">
      <c r="A110" s="27"/>
    </row>
    <row r="111" spans="1:1" x14ac:dyDescent="0.35">
      <c r="A111" s="27"/>
    </row>
    <row r="112" spans="1:1" x14ac:dyDescent="0.35">
      <c r="A112" s="27"/>
    </row>
    <row r="113" spans="1:1" x14ac:dyDescent="0.35">
      <c r="A113" s="27"/>
    </row>
    <row r="114" spans="1:1" x14ac:dyDescent="0.35">
      <c r="A114" s="27"/>
    </row>
    <row r="115" spans="1:1" x14ac:dyDescent="0.35">
      <c r="A115" s="27"/>
    </row>
    <row r="116" spans="1:1" x14ac:dyDescent="0.35">
      <c r="A116" s="27"/>
    </row>
    <row r="117" spans="1:1" x14ac:dyDescent="0.35">
      <c r="A117" s="27"/>
    </row>
    <row r="118" spans="1:1" x14ac:dyDescent="0.35">
      <c r="A118" s="27"/>
    </row>
    <row r="119" spans="1:1" x14ac:dyDescent="0.35">
      <c r="A119" s="27"/>
    </row>
    <row r="120" spans="1:1" x14ac:dyDescent="0.35">
      <c r="A120" s="27"/>
    </row>
    <row r="121" spans="1:1" x14ac:dyDescent="0.35">
      <c r="A121" s="27"/>
    </row>
    <row r="122" spans="1:1" x14ac:dyDescent="0.35">
      <c r="A122" s="27"/>
    </row>
    <row r="123" spans="1:1" x14ac:dyDescent="0.35">
      <c r="A123" s="27"/>
    </row>
    <row r="124" spans="1:1" x14ac:dyDescent="0.35">
      <c r="A124" s="27"/>
    </row>
    <row r="125" spans="1:1" x14ac:dyDescent="0.35">
      <c r="A125" s="27"/>
    </row>
    <row r="126" spans="1:1" x14ac:dyDescent="0.35">
      <c r="A126" s="27"/>
    </row>
    <row r="127" spans="1:1" x14ac:dyDescent="0.35">
      <c r="A127" s="27"/>
    </row>
    <row r="128" spans="1:1" x14ac:dyDescent="0.35">
      <c r="A128" s="27"/>
    </row>
    <row r="129" spans="1:1" x14ac:dyDescent="0.35">
      <c r="A129" s="27"/>
    </row>
    <row r="130" spans="1:1" x14ac:dyDescent="0.35">
      <c r="A130" s="27"/>
    </row>
    <row r="131" spans="1:1" x14ac:dyDescent="0.35">
      <c r="A131" s="27"/>
    </row>
    <row r="132" spans="1:1" x14ac:dyDescent="0.35">
      <c r="A132" s="27"/>
    </row>
    <row r="133" spans="1:1" x14ac:dyDescent="0.35">
      <c r="A133" s="27"/>
    </row>
    <row r="134" spans="1:1" x14ac:dyDescent="0.35">
      <c r="A134" s="27"/>
    </row>
    <row r="135" spans="1:1" x14ac:dyDescent="0.35">
      <c r="A135" s="27"/>
    </row>
    <row r="136" spans="1:1" x14ac:dyDescent="0.35">
      <c r="A136" s="27"/>
    </row>
    <row r="137" spans="1:1" x14ac:dyDescent="0.35">
      <c r="A137" s="27"/>
    </row>
    <row r="138" spans="1:1" x14ac:dyDescent="0.35">
      <c r="A138" s="27"/>
    </row>
    <row r="139" spans="1:1" x14ac:dyDescent="0.35">
      <c r="A139" s="27"/>
    </row>
    <row r="140" spans="1:1" x14ac:dyDescent="0.35">
      <c r="A140" s="27"/>
    </row>
    <row r="141" spans="1:1" x14ac:dyDescent="0.35">
      <c r="A141" s="27"/>
    </row>
    <row r="142" spans="1:1" x14ac:dyDescent="0.35">
      <c r="A142" s="27"/>
    </row>
    <row r="143" spans="1:1" x14ac:dyDescent="0.35">
      <c r="A143" s="27"/>
    </row>
    <row r="144" spans="1:1" x14ac:dyDescent="0.35">
      <c r="A144" s="27"/>
    </row>
    <row r="145" spans="1:1" x14ac:dyDescent="0.35">
      <c r="A145" s="27"/>
    </row>
    <row r="146" spans="1:1" x14ac:dyDescent="0.35">
      <c r="A146" s="27"/>
    </row>
    <row r="147" spans="1:1" x14ac:dyDescent="0.35">
      <c r="A147" s="27"/>
    </row>
    <row r="148" spans="1:1" x14ac:dyDescent="0.35">
      <c r="A148" s="27"/>
    </row>
    <row r="149" spans="1:1" x14ac:dyDescent="0.35">
      <c r="A149" s="27"/>
    </row>
    <row r="150" spans="1:1" x14ac:dyDescent="0.35">
      <c r="A150" s="27"/>
    </row>
    <row r="151" spans="1:1" x14ac:dyDescent="0.35">
      <c r="A151" s="27"/>
    </row>
    <row r="152" spans="1:1" x14ac:dyDescent="0.35">
      <c r="A152" s="27"/>
    </row>
    <row r="153" spans="1:1" x14ac:dyDescent="0.35">
      <c r="A153" s="27"/>
    </row>
    <row r="154" spans="1:1" x14ac:dyDescent="0.35">
      <c r="A154" s="27"/>
    </row>
    <row r="155" spans="1:1" x14ac:dyDescent="0.35">
      <c r="A155" s="27"/>
    </row>
    <row r="156" spans="1:1" x14ac:dyDescent="0.35">
      <c r="A156" s="27"/>
    </row>
    <row r="157" spans="1:1" x14ac:dyDescent="0.35">
      <c r="A157" s="27"/>
    </row>
    <row r="158" spans="1:1" x14ac:dyDescent="0.35">
      <c r="A158" s="27"/>
    </row>
    <row r="159" spans="1:1" x14ac:dyDescent="0.35">
      <c r="A159" s="27"/>
    </row>
    <row r="160" spans="1:1" x14ac:dyDescent="0.35">
      <c r="A160" s="27"/>
    </row>
    <row r="161" spans="1:1" x14ac:dyDescent="0.35">
      <c r="A161" s="27"/>
    </row>
    <row r="162" spans="1:1" x14ac:dyDescent="0.35">
      <c r="A162" s="27"/>
    </row>
    <row r="163" spans="1:1" x14ac:dyDescent="0.35">
      <c r="A163" s="27"/>
    </row>
    <row r="164" spans="1:1" x14ac:dyDescent="0.35">
      <c r="A164" s="27"/>
    </row>
    <row r="165" spans="1:1" x14ac:dyDescent="0.35">
      <c r="A165" s="27"/>
    </row>
    <row r="166" spans="1:1" x14ac:dyDescent="0.35">
      <c r="A166" s="27"/>
    </row>
    <row r="167" spans="1:1" x14ac:dyDescent="0.35">
      <c r="A167" s="27"/>
    </row>
    <row r="168" spans="1:1" x14ac:dyDescent="0.35">
      <c r="A168" s="27"/>
    </row>
    <row r="169" spans="1:1" x14ac:dyDescent="0.35">
      <c r="A169" s="27"/>
    </row>
    <row r="170" spans="1:1" x14ac:dyDescent="0.35">
      <c r="A170" s="27"/>
    </row>
    <row r="171" spans="1:1" x14ac:dyDescent="0.35">
      <c r="A171" s="27"/>
    </row>
    <row r="172" spans="1:1" x14ac:dyDescent="0.35">
      <c r="A172" s="27"/>
    </row>
    <row r="173" spans="1:1" x14ac:dyDescent="0.35">
      <c r="A173" s="27"/>
    </row>
    <row r="174" spans="1:1" x14ac:dyDescent="0.35">
      <c r="A174" s="27"/>
    </row>
    <row r="175" spans="1:1" x14ac:dyDescent="0.35">
      <c r="A175" s="27"/>
    </row>
    <row r="176" spans="1:1" x14ac:dyDescent="0.35">
      <c r="A176" s="27"/>
    </row>
    <row r="177" spans="1:1" x14ac:dyDescent="0.35">
      <c r="A177" s="27"/>
    </row>
    <row r="178" spans="1:1" x14ac:dyDescent="0.35">
      <c r="A178" s="27"/>
    </row>
    <row r="179" spans="1:1" x14ac:dyDescent="0.35">
      <c r="A179" s="27"/>
    </row>
    <row r="180" spans="1:1" x14ac:dyDescent="0.35">
      <c r="A180" s="27"/>
    </row>
    <row r="181" spans="1:1" x14ac:dyDescent="0.35">
      <c r="A181" s="27"/>
    </row>
    <row r="182" spans="1:1" x14ac:dyDescent="0.35">
      <c r="A182" s="27"/>
    </row>
    <row r="183" spans="1:1" x14ac:dyDescent="0.35">
      <c r="A183" s="27"/>
    </row>
    <row r="184" spans="1:1" x14ac:dyDescent="0.35">
      <c r="A184" s="27"/>
    </row>
    <row r="185" spans="1:1" x14ac:dyDescent="0.35">
      <c r="A185" s="27"/>
    </row>
    <row r="186" spans="1:1" x14ac:dyDescent="0.35">
      <c r="A186" s="27"/>
    </row>
    <row r="187" spans="1:1" x14ac:dyDescent="0.35">
      <c r="A187" s="27"/>
    </row>
    <row r="188" spans="1:1" x14ac:dyDescent="0.35">
      <c r="A188" s="27"/>
    </row>
    <row r="189" spans="1:1" x14ac:dyDescent="0.35">
      <c r="A189" s="27"/>
    </row>
    <row r="190" spans="1:1" x14ac:dyDescent="0.35">
      <c r="A190" s="27"/>
    </row>
    <row r="191" spans="1:1" x14ac:dyDescent="0.35">
      <c r="A191" s="27"/>
    </row>
    <row r="192" spans="1:1" x14ac:dyDescent="0.35">
      <c r="A192" s="27"/>
    </row>
    <row r="193" spans="1:1" x14ac:dyDescent="0.35">
      <c r="A193" s="27"/>
    </row>
    <row r="194" spans="1:1" x14ac:dyDescent="0.35">
      <c r="A194" s="27"/>
    </row>
    <row r="195" spans="1:1" x14ac:dyDescent="0.35">
      <c r="A195" s="27"/>
    </row>
    <row r="196" spans="1:1" x14ac:dyDescent="0.35">
      <c r="A196" s="27"/>
    </row>
    <row r="197" spans="1:1" x14ac:dyDescent="0.35">
      <c r="A197" s="27"/>
    </row>
    <row r="198" spans="1:1" x14ac:dyDescent="0.35">
      <c r="A198" s="27"/>
    </row>
    <row r="199" spans="1:1" x14ac:dyDescent="0.35">
      <c r="A199" s="27"/>
    </row>
    <row r="200" spans="1:1" x14ac:dyDescent="0.35">
      <c r="A200" s="27"/>
    </row>
    <row r="201" spans="1:1" x14ac:dyDescent="0.35">
      <c r="A201" s="27"/>
    </row>
    <row r="202" spans="1:1" x14ac:dyDescent="0.35">
      <c r="A202" s="27"/>
    </row>
    <row r="203" spans="1:1" x14ac:dyDescent="0.35">
      <c r="A203" s="27"/>
    </row>
    <row r="204" spans="1:1" x14ac:dyDescent="0.35">
      <c r="A204" s="27"/>
    </row>
    <row r="205" spans="1:1" x14ac:dyDescent="0.35">
      <c r="A205" s="27"/>
    </row>
    <row r="206" spans="1:1" x14ac:dyDescent="0.35">
      <c r="A206" s="27"/>
    </row>
    <row r="207" spans="1:1" x14ac:dyDescent="0.35">
      <c r="A207" s="27"/>
    </row>
    <row r="208" spans="1:1" x14ac:dyDescent="0.35">
      <c r="A208" s="27"/>
    </row>
    <row r="209" spans="1:1" x14ac:dyDescent="0.35">
      <c r="A209" s="27"/>
    </row>
    <row r="210" spans="1:1" x14ac:dyDescent="0.35">
      <c r="A210" s="27"/>
    </row>
    <row r="211" spans="1:1" x14ac:dyDescent="0.35">
      <c r="A211" s="27"/>
    </row>
    <row r="212" spans="1:1" x14ac:dyDescent="0.35">
      <c r="A212" s="27"/>
    </row>
    <row r="213" spans="1:1" x14ac:dyDescent="0.35">
      <c r="A213" s="27"/>
    </row>
    <row r="214" spans="1:1" x14ac:dyDescent="0.35">
      <c r="A214" s="27"/>
    </row>
    <row r="215" spans="1:1" x14ac:dyDescent="0.35">
      <c r="A215" s="27"/>
    </row>
    <row r="216" spans="1:1" x14ac:dyDescent="0.35">
      <c r="A216" s="27"/>
    </row>
    <row r="217" spans="1:1" x14ac:dyDescent="0.35">
      <c r="A217" s="27"/>
    </row>
    <row r="218" spans="1:1" x14ac:dyDescent="0.35">
      <c r="A218" s="27"/>
    </row>
    <row r="219" spans="1:1" x14ac:dyDescent="0.35">
      <c r="A219" s="27"/>
    </row>
    <row r="220" spans="1:1" x14ac:dyDescent="0.35">
      <c r="A220" s="27"/>
    </row>
    <row r="221" spans="1:1" x14ac:dyDescent="0.35">
      <c r="A221" s="27"/>
    </row>
    <row r="222" spans="1:1" x14ac:dyDescent="0.35">
      <c r="A222" s="27"/>
    </row>
    <row r="223" spans="1:1" x14ac:dyDescent="0.35">
      <c r="A223" s="27"/>
    </row>
    <row r="224" spans="1:1" x14ac:dyDescent="0.35">
      <c r="A224" s="27"/>
    </row>
    <row r="225" spans="1:1" x14ac:dyDescent="0.35">
      <c r="A225" s="27"/>
    </row>
    <row r="226" spans="1:1" x14ac:dyDescent="0.35">
      <c r="A226" s="27"/>
    </row>
    <row r="227" spans="1:1" x14ac:dyDescent="0.35">
      <c r="A227" s="27"/>
    </row>
    <row r="228" spans="1:1" x14ac:dyDescent="0.35">
      <c r="A228" s="27"/>
    </row>
    <row r="229" spans="1:1" x14ac:dyDescent="0.35">
      <c r="A229" s="27"/>
    </row>
    <row r="230" spans="1:1" x14ac:dyDescent="0.35">
      <c r="A230" s="27"/>
    </row>
    <row r="231" spans="1:1" x14ac:dyDescent="0.35">
      <c r="A231" s="27"/>
    </row>
    <row r="232" spans="1:1" x14ac:dyDescent="0.35">
      <c r="A232" s="27"/>
    </row>
    <row r="233" spans="1:1" x14ac:dyDescent="0.35">
      <c r="A233" s="27"/>
    </row>
    <row r="234" spans="1:1" x14ac:dyDescent="0.35">
      <c r="A234" s="27"/>
    </row>
    <row r="235" spans="1:1" x14ac:dyDescent="0.35">
      <c r="A235" s="27"/>
    </row>
    <row r="236" spans="1:1" x14ac:dyDescent="0.35">
      <c r="A236" s="27"/>
    </row>
    <row r="237" spans="1:1" x14ac:dyDescent="0.35">
      <c r="A237" s="27"/>
    </row>
    <row r="238" spans="1:1" x14ac:dyDescent="0.35">
      <c r="A238" s="27"/>
    </row>
    <row r="239" spans="1:1" x14ac:dyDescent="0.35">
      <c r="A239" s="27"/>
    </row>
    <row r="240" spans="1:1" x14ac:dyDescent="0.35">
      <c r="A240" s="27"/>
    </row>
    <row r="241" spans="1:1" x14ac:dyDescent="0.35">
      <c r="A241" s="27"/>
    </row>
    <row r="242" spans="1:1" x14ac:dyDescent="0.35">
      <c r="A242" s="27"/>
    </row>
    <row r="243" spans="1:1" x14ac:dyDescent="0.35">
      <c r="A243" s="27"/>
    </row>
    <row r="244" spans="1:1" x14ac:dyDescent="0.35">
      <c r="A244" s="27"/>
    </row>
    <row r="245" spans="1:1" x14ac:dyDescent="0.35">
      <c r="A245" s="27"/>
    </row>
    <row r="246" spans="1:1" x14ac:dyDescent="0.35">
      <c r="A246" s="27"/>
    </row>
    <row r="247" spans="1:1" x14ac:dyDescent="0.35">
      <c r="A247" s="27"/>
    </row>
    <row r="248" spans="1:1" x14ac:dyDescent="0.35">
      <c r="A248" s="27"/>
    </row>
    <row r="249" spans="1:1" x14ac:dyDescent="0.35">
      <c r="A249" s="27"/>
    </row>
    <row r="250" spans="1:1" x14ac:dyDescent="0.35">
      <c r="A250" s="27"/>
    </row>
    <row r="251" spans="1:1" x14ac:dyDescent="0.35">
      <c r="A251" s="27"/>
    </row>
    <row r="252" spans="1:1" x14ac:dyDescent="0.35">
      <c r="A252" s="27"/>
    </row>
    <row r="253" spans="1:1" x14ac:dyDescent="0.35">
      <c r="A253" s="27"/>
    </row>
    <row r="254" spans="1:1" x14ac:dyDescent="0.35">
      <c r="A254" s="27"/>
    </row>
    <row r="255" spans="1:1" x14ac:dyDescent="0.35">
      <c r="A255" s="27"/>
    </row>
    <row r="256" spans="1:1" x14ac:dyDescent="0.35">
      <c r="A256" s="27"/>
    </row>
    <row r="257" spans="1:1" x14ac:dyDescent="0.35">
      <c r="A257" s="27"/>
    </row>
    <row r="258" spans="1:1" x14ac:dyDescent="0.35">
      <c r="A258" s="27"/>
    </row>
    <row r="259" spans="1:1" x14ac:dyDescent="0.35">
      <c r="A259" s="27"/>
    </row>
    <row r="260" spans="1:1" x14ac:dyDescent="0.35">
      <c r="A260" s="27"/>
    </row>
    <row r="261" spans="1:1" x14ac:dyDescent="0.35">
      <c r="A261" s="27"/>
    </row>
    <row r="262" spans="1:1" x14ac:dyDescent="0.35">
      <c r="A262" s="27"/>
    </row>
    <row r="263" spans="1:1" x14ac:dyDescent="0.35">
      <c r="A263" s="27"/>
    </row>
    <row r="264" spans="1:1" x14ac:dyDescent="0.35">
      <c r="A264" s="27"/>
    </row>
    <row r="265" spans="1:1" x14ac:dyDescent="0.35">
      <c r="A265" s="27"/>
    </row>
    <row r="266" spans="1:1" x14ac:dyDescent="0.35">
      <c r="A266" s="27"/>
    </row>
    <row r="267" spans="1:1" x14ac:dyDescent="0.35">
      <c r="A267" s="27"/>
    </row>
    <row r="268" spans="1:1" x14ac:dyDescent="0.35">
      <c r="A268" s="27"/>
    </row>
    <row r="269" spans="1:1" x14ac:dyDescent="0.35">
      <c r="A269" s="27"/>
    </row>
    <row r="270" spans="1:1" x14ac:dyDescent="0.35">
      <c r="A270" s="27"/>
    </row>
    <row r="271" spans="1:1" x14ac:dyDescent="0.35">
      <c r="A271" s="27"/>
    </row>
    <row r="272" spans="1:1" x14ac:dyDescent="0.35">
      <c r="A272" s="27"/>
    </row>
    <row r="273" spans="1:1" x14ac:dyDescent="0.35">
      <c r="A273" s="27"/>
    </row>
    <row r="274" spans="1:1" x14ac:dyDescent="0.35">
      <c r="A274" s="27"/>
    </row>
    <row r="275" spans="1:1" x14ac:dyDescent="0.35">
      <c r="A275" s="27"/>
    </row>
    <row r="276" spans="1:1" x14ac:dyDescent="0.35">
      <c r="A276" s="27"/>
    </row>
    <row r="277" spans="1:1" x14ac:dyDescent="0.35">
      <c r="A277" s="27"/>
    </row>
    <row r="278" spans="1:1" x14ac:dyDescent="0.35">
      <c r="A278" s="27"/>
    </row>
    <row r="279" spans="1:1" x14ac:dyDescent="0.35">
      <c r="A279" s="27"/>
    </row>
    <row r="280" spans="1:1" x14ac:dyDescent="0.35">
      <c r="A280" s="27"/>
    </row>
    <row r="281" spans="1:1" x14ac:dyDescent="0.35">
      <c r="A281" s="27"/>
    </row>
    <row r="282" spans="1:1" x14ac:dyDescent="0.35">
      <c r="A282" s="27"/>
    </row>
    <row r="283" spans="1:1" x14ac:dyDescent="0.35">
      <c r="A283" s="27"/>
    </row>
    <row r="284" spans="1:1" x14ac:dyDescent="0.35">
      <c r="A284" s="27"/>
    </row>
    <row r="285" spans="1:1" x14ac:dyDescent="0.35">
      <c r="A285" s="27"/>
    </row>
    <row r="286" spans="1:1" x14ac:dyDescent="0.35">
      <c r="A286" s="27"/>
    </row>
    <row r="287" spans="1:1" x14ac:dyDescent="0.35">
      <c r="A287" s="27"/>
    </row>
    <row r="288" spans="1:1" x14ac:dyDescent="0.35">
      <c r="A288" s="27"/>
    </row>
    <row r="289" spans="1:1" x14ac:dyDescent="0.35">
      <c r="A289" s="27"/>
    </row>
    <row r="290" spans="1:1" x14ac:dyDescent="0.35">
      <c r="A290" s="27"/>
    </row>
    <row r="291" spans="1:1" x14ac:dyDescent="0.35">
      <c r="A291" s="27"/>
    </row>
    <row r="292" spans="1:1" x14ac:dyDescent="0.35">
      <c r="A292" s="27"/>
    </row>
    <row r="293" spans="1:1" x14ac:dyDescent="0.35">
      <c r="A293" s="27"/>
    </row>
    <row r="294" spans="1:1" x14ac:dyDescent="0.35">
      <c r="A294" s="27"/>
    </row>
    <row r="295" spans="1:1" x14ac:dyDescent="0.35">
      <c r="A295" s="27"/>
    </row>
    <row r="296" spans="1:1" x14ac:dyDescent="0.35">
      <c r="A296" s="27"/>
    </row>
    <row r="297" spans="1:1" x14ac:dyDescent="0.35">
      <c r="A297" s="27"/>
    </row>
    <row r="298" spans="1:1" x14ac:dyDescent="0.35">
      <c r="A298" s="27"/>
    </row>
    <row r="299" spans="1:1" x14ac:dyDescent="0.35">
      <c r="A299" s="27"/>
    </row>
    <row r="300" spans="1:1" x14ac:dyDescent="0.35">
      <c r="A300" s="27"/>
    </row>
    <row r="301" spans="1:1" x14ac:dyDescent="0.35">
      <c r="A301" s="27"/>
    </row>
    <row r="302" spans="1:1" x14ac:dyDescent="0.35">
      <c r="A302" s="27"/>
    </row>
    <row r="303" spans="1:1" x14ac:dyDescent="0.35">
      <c r="A303" s="27"/>
    </row>
    <row r="304" spans="1:1" x14ac:dyDescent="0.35">
      <c r="A304" s="27"/>
    </row>
    <row r="305" spans="1:1" x14ac:dyDescent="0.35">
      <c r="A305" s="27"/>
    </row>
    <row r="306" spans="1:1" x14ac:dyDescent="0.35">
      <c r="A306" s="27"/>
    </row>
    <row r="307" spans="1:1" x14ac:dyDescent="0.35">
      <c r="A307" s="27"/>
    </row>
    <row r="308" spans="1:1" x14ac:dyDescent="0.35">
      <c r="A308" s="27"/>
    </row>
    <row r="309" spans="1:1" x14ac:dyDescent="0.35">
      <c r="A309" s="27"/>
    </row>
    <row r="310" spans="1:1" x14ac:dyDescent="0.35">
      <c r="A310" s="27"/>
    </row>
    <row r="311" spans="1:1" x14ac:dyDescent="0.35">
      <c r="A311" s="27"/>
    </row>
    <row r="312" spans="1:1" x14ac:dyDescent="0.35">
      <c r="A312" s="27"/>
    </row>
    <row r="313" spans="1:1" x14ac:dyDescent="0.35">
      <c r="A313" s="27"/>
    </row>
    <row r="314" spans="1:1" x14ac:dyDescent="0.35">
      <c r="A314" s="27"/>
    </row>
    <row r="315" spans="1:1" x14ac:dyDescent="0.35">
      <c r="A315" s="27"/>
    </row>
    <row r="316" spans="1:1" x14ac:dyDescent="0.35">
      <c r="A316" s="27"/>
    </row>
    <row r="317" spans="1:1" x14ac:dyDescent="0.35">
      <c r="A317" s="27"/>
    </row>
    <row r="318" spans="1:1" x14ac:dyDescent="0.35">
      <c r="A318" s="27"/>
    </row>
    <row r="319" spans="1:1" x14ac:dyDescent="0.35">
      <c r="A319" s="27"/>
    </row>
    <row r="320" spans="1:1" x14ac:dyDescent="0.35">
      <c r="A320" s="27"/>
    </row>
    <row r="321" spans="1:1" x14ac:dyDescent="0.35">
      <c r="A321" s="27"/>
    </row>
    <row r="322" spans="1:1" x14ac:dyDescent="0.35">
      <c r="A322" s="27"/>
    </row>
    <row r="323" spans="1:1" x14ac:dyDescent="0.35">
      <c r="A323" s="27"/>
    </row>
    <row r="324" spans="1:1" x14ac:dyDescent="0.35">
      <c r="A324" s="27"/>
    </row>
    <row r="325" spans="1:1" x14ac:dyDescent="0.35">
      <c r="A325" s="27"/>
    </row>
    <row r="326" spans="1:1" x14ac:dyDescent="0.35">
      <c r="A326" s="27"/>
    </row>
    <row r="327" spans="1:1" x14ac:dyDescent="0.35">
      <c r="A327" s="27"/>
    </row>
    <row r="328" spans="1:1" x14ac:dyDescent="0.35">
      <c r="A328" s="27"/>
    </row>
    <row r="329" spans="1:1" x14ac:dyDescent="0.35">
      <c r="A329" s="27"/>
    </row>
    <row r="330" spans="1:1" x14ac:dyDescent="0.35">
      <c r="A330" s="27"/>
    </row>
    <row r="331" spans="1:1" x14ac:dyDescent="0.35">
      <c r="A331" s="27"/>
    </row>
    <row r="332" spans="1:1" x14ac:dyDescent="0.35">
      <c r="A332" s="27"/>
    </row>
    <row r="333" spans="1:1" x14ac:dyDescent="0.35">
      <c r="A333" s="27"/>
    </row>
    <row r="334" spans="1:1" x14ac:dyDescent="0.35">
      <c r="A334" s="27"/>
    </row>
    <row r="335" spans="1:1" x14ac:dyDescent="0.35">
      <c r="A335" s="27"/>
    </row>
    <row r="336" spans="1:1" x14ac:dyDescent="0.35">
      <c r="A336" s="27"/>
    </row>
    <row r="337" spans="1:1" x14ac:dyDescent="0.35">
      <c r="A337" s="27"/>
    </row>
    <row r="338" spans="1:1" x14ac:dyDescent="0.35">
      <c r="A338" s="27"/>
    </row>
    <row r="339" spans="1:1" x14ac:dyDescent="0.35">
      <c r="A339" s="27"/>
    </row>
    <row r="340" spans="1:1" x14ac:dyDescent="0.35">
      <c r="A340" s="27"/>
    </row>
    <row r="341" spans="1:1" x14ac:dyDescent="0.35">
      <c r="A341" s="27"/>
    </row>
    <row r="342" spans="1:1" x14ac:dyDescent="0.35">
      <c r="A342" s="27"/>
    </row>
    <row r="343" spans="1:1" x14ac:dyDescent="0.35">
      <c r="A343" s="27"/>
    </row>
    <row r="344" spans="1:1" x14ac:dyDescent="0.35">
      <c r="A344" s="27"/>
    </row>
    <row r="345" spans="1:1" x14ac:dyDescent="0.35">
      <c r="A345" s="27"/>
    </row>
    <row r="346" spans="1:1" x14ac:dyDescent="0.35">
      <c r="A346" s="27"/>
    </row>
    <row r="347" spans="1:1" x14ac:dyDescent="0.35">
      <c r="A347" s="27"/>
    </row>
    <row r="348" spans="1:1" x14ac:dyDescent="0.35">
      <c r="A348" s="27"/>
    </row>
    <row r="349" spans="1:1" x14ac:dyDescent="0.35">
      <c r="A349" s="27"/>
    </row>
    <row r="350" spans="1:1" x14ac:dyDescent="0.35">
      <c r="A350" s="27"/>
    </row>
    <row r="351" spans="1:1" x14ac:dyDescent="0.35">
      <c r="A351" s="27"/>
    </row>
    <row r="352" spans="1:1" x14ac:dyDescent="0.35">
      <c r="A352" s="27"/>
    </row>
    <row r="353" spans="1:1" x14ac:dyDescent="0.35">
      <c r="A353" s="27"/>
    </row>
    <row r="354" spans="1:1" x14ac:dyDescent="0.35">
      <c r="A354" s="27"/>
    </row>
    <row r="355" spans="1:1" x14ac:dyDescent="0.35">
      <c r="A355" s="27"/>
    </row>
    <row r="356" spans="1:1" x14ac:dyDescent="0.35">
      <c r="A356" s="27"/>
    </row>
    <row r="357" spans="1:1" x14ac:dyDescent="0.35">
      <c r="A357" s="27"/>
    </row>
    <row r="358" spans="1:1" x14ac:dyDescent="0.35">
      <c r="A358" s="27"/>
    </row>
    <row r="359" spans="1:1" x14ac:dyDescent="0.35">
      <c r="A359" s="27"/>
    </row>
    <row r="360" spans="1:1" x14ac:dyDescent="0.35">
      <c r="A360" s="27"/>
    </row>
    <row r="361" spans="1:1" x14ac:dyDescent="0.35">
      <c r="A361" s="27"/>
    </row>
    <row r="362" spans="1:1" x14ac:dyDescent="0.35">
      <c r="A362" s="27"/>
    </row>
    <row r="363" spans="1:1" x14ac:dyDescent="0.35">
      <c r="A363" s="27"/>
    </row>
    <row r="364" spans="1:1" x14ac:dyDescent="0.35">
      <c r="A364" s="27"/>
    </row>
    <row r="365" spans="1:1" x14ac:dyDescent="0.35">
      <c r="A365" s="27"/>
    </row>
    <row r="366" spans="1:1" x14ac:dyDescent="0.35">
      <c r="A366" s="27"/>
    </row>
    <row r="367" spans="1:1" x14ac:dyDescent="0.35">
      <c r="A367" s="27"/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Data Entry</vt:lpstr>
      <vt:lpstr>Database</vt:lpstr>
      <vt:lpstr>Search</vt:lpstr>
      <vt:lpstr>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Han, Xihao</cp:lastModifiedBy>
  <cp:revision/>
  <dcterms:created xsi:type="dcterms:W3CDTF">2026-09-20T08:18:36Z</dcterms:created>
  <dcterms:modified xsi:type="dcterms:W3CDTF">2026-09-24T08:03:41Z</dcterms:modified>
  <cp:category/>
  <cp:contentStatus/>
</cp:coreProperties>
</file>